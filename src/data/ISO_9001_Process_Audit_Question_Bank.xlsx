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uwa_Emmanuel\Downloads\"/>
    </mc:Choice>
  </mc:AlternateContent>
  <xr:revisionPtr revIDLastSave="0" documentId="13_ncr:1_{04360E34-6D15-498A-97F4-51FFBA8C977E}" xr6:coauthVersionLast="47" xr6:coauthVersionMax="47" xr10:uidLastSave="{00000000-0000-0000-0000-000000000000}"/>
  <bookViews>
    <workbookView xWindow="-120" yWindow="-120" windowWidth="20730" windowHeight="11040" firstSheet="19" activeTab="19" xr2:uid="{00000000-000D-0000-FFFF-FFFF00000000}"/>
  </bookViews>
  <sheets>
    <sheet name="Index" sheetId="1" state="hidden" r:id="rId1"/>
    <sheet name="Top Management" sheetId="2" state="hidden" r:id="rId2"/>
    <sheet name="QA - QC" sheetId="3" state="hidden" r:id="rId3"/>
    <sheet name="QMS - Quality Management" sheetId="4" state="hidden" r:id="rId4"/>
    <sheet name="Human Resources" sheetId="5" state="hidden" r:id="rId5"/>
    <sheet name="Operations" sheetId="6" state="hidden" r:id="rId6"/>
    <sheet name="Engineering - Design" sheetId="7" state="hidden" r:id="rId7"/>
    <sheet name="Construction" sheetId="8" state="hidden" r:id="rId8"/>
    <sheet name="Sales" sheetId="9" state="hidden" r:id="rId9"/>
    <sheet name="Marketing" sheetId="10" state="hidden" r:id="rId10"/>
    <sheet name="Procurement" sheetId="11" state="hidden" r:id="rId11"/>
    <sheet name="Finance &amp; Accounts" sheetId="12" state="hidden" r:id="rId12"/>
    <sheet name="Store" sheetId="13" state="hidden" r:id="rId13"/>
    <sheet name="ICT - IT" sheetId="14" state="hidden" r:id="rId14"/>
    <sheet name="Warehouse" sheetId="15" state="hidden" r:id="rId15"/>
    <sheet name="Project Management" sheetId="16" state="hidden" r:id="rId16"/>
    <sheet name="Administration" sheetId="17" state="hidden" r:id="rId17"/>
    <sheet name="Production - Manufacturing" sheetId="18" state="hidden" r:id="rId18"/>
    <sheet name="Business Development" sheetId="19" state="hidden" r:id="rId19"/>
    <sheet name="Findings Log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9" l="1"/>
  <c r="K5" i="18"/>
  <c r="K5" i="17"/>
  <c r="K5" i="16"/>
  <c r="K5" i="15"/>
  <c r="K5" i="14"/>
  <c r="K5" i="13"/>
  <c r="K5" i="12"/>
  <c r="K5" i="11"/>
  <c r="K5" i="10"/>
  <c r="K5" i="9"/>
  <c r="K5" i="8"/>
  <c r="K5" i="7"/>
  <c r="K5" i="6"/>
  <c r="K5" i="5"/>
  <c r="K5" i="4"/>
  <c r="K5" i="3"/>
  <c r="K5" i="2"/>
</calcChain>
</file>

<file path=xl/sharedStrings.xml><?xml version="1.0" encoding="utf-8"?>
<sst xmlns="http://schemas.openxmlformats.org/spreadsheetml/2006/main" count="4252" uniqueCount="577">
  <si>
    <t>ISO 9001:2015 — Process Audit Workbook</t>
  </si>
  <si>
    <t>Generic + process-specific audit questions, expected evidence, and finding fields.</t>
  </si>
  <si>
    <t>#</t>
  </si>
  <si>
    <t>Process</t>
  </si>
  <si>
    <t>Scope</t>
  </si>
  <si>
    <t>Tab</t>
  </si>
  <si>
    <t>Top Management</t>
  </si>
  <si>
    <t>Strategic direction, leadership, policy, resources, management review.</t>
  </si>
  <si>
    <t>QA / QC</t>
  </si>
  <si>
    <t>Inspection, testing, calibration, release of product/service, NCR control.</t>
  </si>
  <si>
    <t>QA - QC</t>
  </si>
  <si>
    <t>QMS / Quality Management</t>
  </si>
  <si>
    <t>Document control, internal audit, CAPA, management of the QMS itself.</t>
  </si>
  <si>
    <t>QMS - Quality Management</t>
  </si>
  <si>
    <t>Human Resources</t>
  </si>
  <si>
    <t>Recruitment, competence, training, awareness, performance, work environment.</t>
  </si>
  <si>
    <t>Operations</t>
  </si>
  <si>
    <t>Day-to-day operational planning, control of routine service/product delivery.</t>
  </si>
  <si>
    <t>Engineering / Design</t>
  </si>
  <si>
    <t>Design &amp; development, technical specifications, drawings, change control.</t>
  </si>
  <si>
    <t>Engineering - Design</t>
  </si>
  <si>
    <t>Construction</t>
  </si>
  <si>
    <t>Site execution, ITPs, subcontractor control, site QA/QC, handover.</t>
  </si>
  <si>
    <t>Sales</t>
  </si>
  <si>
    <t>Customer requirements, contract review, quotations, order acceptance.</t>
  </si>
  <si>
    <t>Marketing</t>
  </si>
  <si>
    <t>Market communication, brand, customer feedback channels, lead generation.</t>
  </si>
  <si>
    <t>Procurement</t>
  </si>
  <si>
    <t>Supplier evaluation, purchasing, externally provided processes/products.</t>
  </si>
  <si>
    <t>Finance &amp; Accounts</t>
  </si>
  <si>
    <t>Financial controls, costing, payments, resource availability for the QMS.</t>
  </si>
  <si>
    <t>Store</t>
  </si>
  <si>
    <t>Issue/receipt, stock accuracy, identification, preservation of stored items.</t>
  </si>
  <si>
    <t>ICT / IT</t>
  </si>
  <si>
    <t>Information systems, data integrity, backups, cybersecurity, system uptime.</t>
  </si>
  <si>
    <t>ICT - IT</t>
  </si>
  <si>
    <t>Warehouse</t>
  </si>
  <si>
    <t>Receipt, storage, FIFO/FEFO, dispatch, preservation, traceability.</t>
  </si>
  <si>
    <t>Project Management</t>
  </si>
  <si>
    <t>Project planning, monitoring, change, stakeholder, closeout.</t>
  </si>
  <si>
    <t>Administration</t>
  </si>
  <si>
    <t>Facilities, records, travel, general services, support to operations.</t>
  </si>
  <si>
    <t>Production / Manufacturing</t>
  </si>
  <si>
    <t>Production planning, process control, identification, traceability, release.</t>
  </si>
  <si>
    <t>Production - Manufacturing</t>
  </si>
  <si>
    <t>Business Development</t>
  </si>
  <si>
    <t>Opportunity identification, partnerships, new market entry, growth planning.</t>
  </si>
  <si>
    <t>Top Management — ISO 9001:2015 Audit Checklist</t>
  </si>
  <si>
    <t>Scope: Strategic direction, leadership, policy, resources, management review.</t>
  </si>
  <si>
    <t>Organization:</t>
  </si>
  <si>
    <t>Site / Scope:</t>
  </si>
  <si>
    <t>Audit date:</t>
  </si>
  <si>
    <t>Lead auditor:</t>
  </si>
  <si>
    <t>Conformity %</t>
  </si>
  <si>
    <t>Auditee rep:</t>
  </si>
  <si>
    <t>Standard:</t>
  </si>
  <si>
    <t>ISO 9001:2015</t>
  </si>
  <si>
    <t>Audit ref:</t>
  </si>
  <si>
    <t>Clause</t>
  </si>
  <si>
    <t>Clause Title</t>
  </si>
  <si>
    <t>Type</t>
  </si>
  <si>
    <t>Audit Question</t>
  </si>
  <si>
    <t>Expected Evidence</t>
  </si>
  <si>
    <t>Effective Implementation</t>
  </si>
  <si>
    <t>Evidence Reviewed / Notes</t>
  </si>
  <si>
    <t>Status</t>
  </si>
  <si>
    <t>Severity Score</t>
  </si>
  <si>
    <t>Auditor</t>
  </si>
  <si>
    <t>Auditee</t>
  </si>
  <si>
    <t>4.1</t>
  </si>
  <si>
    <t>Context of the organization</t>
  </si>
  <si>
    <t>Generic</t>
  </si>
  <si>
    <t>Has the process identified the internal and external issues that affect its ability to deliver intended results?</t>
  </si>
  <si>
    <t>Strategic plan; PESTLE/SWOT analysis; MR minutes referencing context</t>
  </si>
  <si>
    <t>Process consistently meets clause intent: documented, implemented, monitored, and improved with objective evidence.</t>
  </si>
  <si>
    <t>Pending</t>
  </si>
  <si>
    <t>0 - None</t>
  </si>
  <si>
    <t>Are these issues reviewed at planned intervals and updated when they change?</t>
  </si>
  <si>
    <t>Specific</t>
  </si>
  <si>
    <t>How does top management capture strategic context (PESTLE, market, regulatory)?</t>
  </si>
  <si>
    <t>Is context reviewed at the management review?</t>
  </si>
  <si>
    <t>4.2</t>
  </si>
  <si>
    <t>Needs &amp; expectations of interested parties</t>
  </si>
  <si>
    <t>Have the relevant interested parties for this process and their requirements been identified?</t>
  </si>
  <si>
    <t>Approved stakeholder register; Board/exec minutes</t>
  </si>
  <si>
    <t>How are changes in interested-party requirements monitored and fed into the process?</t>
  </si>
  <si>
    <t>Has top management approved the interested-parties register and tolerance for their requirements?</t>
  </si>
  <si>
    <t>4.3</t>
  </si>
  <si>
    <t>Scope of the QMS</t>
  </si>
  <si>
    <t>Does the process owner understand which activities fall within the scope of the QMS?</t>
  </si>
  <si>
    <t>Signed scope statement; Manual</t>
  </si>
  <si>
    <t>Has top management approved and signed the QMS scope statement?</t>
  </si>
  <si>
    <t>4.4</t>
  </si>
  <si>
    <t>QMS &amp; its processes</t>
  </si>
  <si>
    <t>Is the process defined (inputs, outputs, sequence, interactions, owner, KPIs)?</t>
  </si>
  <si>
    <t>Process map; Owner appointment letters</t>
  </si>
  <si>
    <t>Are KPIs measured and acted upon?</t>
  </si>
  <si>
    <t>Has top management approved the process map and assigned process owners?</t>
  </si>
  <si>
    <t>5.1</t>
  </si>
  <si>
    <t>Leadership &amp; commitment</t>
  </si>
  <si>
    <t>How does the process owner demonstrate leadership and commitment to quality and customer focus?</t>
  </si>
  <si>
    <t>MR minutes; CEO communications; Resource decisions; Customer focus campaigns</t>
  </si>
  <si>
    <t>How does top management take accountability for QMS effectiveness?</t>
  </si>
  <si>
    <t>How are customer focus and risk-based thinking promoted from the top?</t>
  </si>
  <si>
    <t>5.2</t>
  </si>
  <si>
    <t>Quality policy</t>
  </si>
  <si>
    <t>Do staff in the process know the quality policy and how it applies to their work?</t>
  </si>
  <si>
    <t>Signed quality policy; Communication evidence</t>
  </si>
  <si>
    <t>Has the quality policy been established, signed, communicated, and reviewed by top management?</t>
  </si>
  <si>
    <t>5.3</t>
  </si>
  <si>
    <t>Roles, responsibilities &amp; authorities</t>
  </si>
  <si>
    <t>Are responsibilities and authorities within the process assigned, documented, and understood?</t>
  </si>
  <si>
    <t>Org chart; RACI; Appointment letters</t>
  </si>
  <si>
    <t>Has top management defined org structure, QMS roles, and authorities?</t>
  </si>
  <si>
    <t>6.1</t>
  </si>
  <si>
    <t>Risks &amp; opportunities</t>
  </si>
  <si>
    <t>Have process-level risks and opportunities been identified, assessed, and addressed?</t>
  </si>
  <si>
    <t>Enterprise risk register; Treatment plans</t>
  </si>
  <si>
    <t>Is the effectiveness of risk treatments verified?</t>
  </si>
  <si>
    <t>How does top management ensure enterprise-level risks are addressed in the QMS?</t>
  </si>
  <si>
    <t>6.2</t>
  </si>
  <si>
    <t>Quality objectives &amp; planning</t>
  </si>
  <si>
    <t>Are measurable quality objectives established for the process, with action plans?</t>
  </si>
  <si>
    <t>Corporate objectives; Cascade to functions</t>
  </si>
  <si>
    <t>Are objectives tracked and deviations acted upon?</t>
  </si>
  <si>
    <t>Has top management approved corporate quality objectives aligned to strategy?</t>
  </si>
  <si>
    <t>6.3</t>
  </si>
  <si>
    <t>Planning of changes</t>
  </si>
  <si>
    <t>How are changes affecting the process planned, assessed, and controlled?</t>
  </si>
  <si>
    <t>Change-management decisions; MR review of changes</t>
  </si>
  <si>
    <t>How are major organizational changes planned to preserve QMS integrity?</t>
  </si>
  <si>
    <t>7.1</t>
  </si>
  <si>
    <t>Resources</t>
  </si>
  <si>
    <t>Are the people, infrastructure, work environment, and monitoring resources required by the process provided and maintained?</t>
  </si>
  <si>
    <t>Budget approvals; Resource plans</t>
  </si>
  <si>
    <t>How does top management ensure adequate resources (people, infra, finance) for the QMS?</t>
  </si>
  <si>
    <t>9.3</t>
  </si>
  <si>
    <t>Management review</t>
  </si>
  <si>
    <t>Are inputs from this process provided to management review, and are outputs implemented?</t>
  </si>
  <si>
    <t>MR schedule; MR minutes with all inputs/outputs; Action register</t>
  </si>
  <si>
    <t>Are management reviews conducted at planned intervals covering all required inputs and producing decisions on improvement, change, and resources?</t>
  </si>
  <si>
    <t>10.1</t>
  </si>
  <si>
    <t>Improvement (general)</t>
  </si>
  <si>
    <t>How does the process identify and act on opportunities for improvement?</t>
  </si>
  <si>
    <t>Improvement programmes; Strategic improvement projects</t>
  </si>
  <si>
    <t>How does top management drive an improvement culture across the organization?</t>
  </si>
  <si>
    <t>10.3</t>
  </si>
  <si>
    <t>Continual improvement</t>
  </si>
  <si>
    <t>Is there evidence of continual improvement in process KPIs over time?</t>
  </si>
  <si>
    <t>Trend dashboards; Year-on-year KPI reports</t>
  </si>
  <si>
    <t>What evidence shows continual improvement at the strategic level (KPIs trending up over time)?</t>
  </si>
  <si>
    <t>QA / QC — ISO 9001:2015 Audit Checklist</t>
  </si>
  <si>
    <t>Scope: Inspection, testing, calibration, release of product/service, NCR control.</t>
  </si>
  <si>
    <t>QA/QC procedure; Process map</t>
  </si>
  <si>
    <t>Is the QA/QC process defined with inputs, outputs, controls, and KPIs?</t>
  </si>
  <si>
    <t>Job descriptions; Authority matrix</t>
  </si>
  <si>
    <t>Are QA/QC inspector authorities (accept/reject, hold, release) defined?</t>
  </si>
  <si>
    <t>Quality risk register</t>
  </si>
  <si>
    <t>What inspection-escape and product-quality risks are identified and treated?</t>
  </si>
  <si>
    <t>KPI dashboard</t>
  </si>
  <si>
    <t>Are QC objectives (defect rate, FTQ, escape rate) set and tracked?</t>
  </si>
  <si>
    <t>Calibration register; Calibration certificates; Verification records</t>
  </si>
  <si>
    <t>Are calibrated monitoring and measuring resources available, identified, and protected?</t>
  </si>
  <si>
    <t>Is calibration traceable to national/international standards?</t>
  </si>
  <si>
    <t>7.2</t>
  </si>
  <si>
    <t>Competence</t>
  </si>
  <si>
    <t>Has required competence for roles in the process been defined, achieved, and evaluated?</t>
  </si>
  <si>
    <t>Inspector qualifications; Competency matrix</t>
  </si>
  <si>
    <t>Are inspectors qualified (e.g., NDT level, IPC, welding inspector) and competence verified?</t>
  </si>
  <si>
    <t>7.5</t>
  </si>
  <si>
    <t>Documented information</t>
  </si>
  <si>
    <t>Is documented information needed by the process created, controlled, distributed, protected, and retained?</t>
  </si>
  <si>
    <t>ITPs; Inspection forms (current rev)</t>
  </si>
  <si>
    <t>Are only current versions in use at the point of need?</t>
  </si>
  <si>
    <t>Are inspection plans, ITPs, checklists, and acceptance criteria controlled and at point of use?</t>
  </si>
  <si>
    <t>8.1</t>
  </si>
  <si>
    <t>Operational planning &amp; control</t>
  </si>
  <si>
    <t>Is the process planned and controlled to meet requirements (criteria, resources, controls, records)?</t>
  </si>
  <si>
    <t>ITP; Quality plan</t>
  </si>
  <si>
    <t>Are inspection and test plans planned with the process, including hold/witness points?</t>
  </si>
  <si>
    <t>8.4</t>
  </si>
  <si>
    <t>Externally provided processes, products &amp; services</t>
  </si>
  <si>
    <t>Are externally provided processes/products/services used by this process controlled and providers evaluated?</t>
  </si>
  <si>
    <t>Incoming inspection records; Material certs</t>
  </si>
  <si>
    <t>Is incoming inspection performed per defined criteria and records kept?</t>
  </si>
  <si>
    <t>8.5</t>
  </si>
  <si>
    <t>Production &amp; service provision</t>
  </si>
  <si>
    <t>Are activities carried out under controlled conditions including identification, traceability, preservation, and customer property where applicable?</t>
  </si>
  <si>
    <t>In-process records; Tags/labels</t>
  </si>
  <si>
    <t>Is in-process inspection performed and recorded?</t>
  </si>
  <si>
    <t>Is identification of inspection status (accepted/hold/rejected) maintained?</t>
  </si>
  <si>
    <t>8.6</t>
  </si>
  <si>
    <t>Release of products &amp; services</t>
  </si>
  <si>
    <t>Are planned arrangements completed, and authorized release performed before delivery of outputs from this process?</t>
  </si>
  <si>
    <t>Final inspection reports; Release notes; Concession log</t>
  </si>
  <si>
    <t>Is final inspection completed and authorized release evidenced before delivery?</t>
  </si>
  <si>
    <t>Are concessions/waivers controlled?</t>
  </si>
  <si>
    <t>8.7</t>
  </si>
  <si>
    <t>Control of nonconforming outputs</t>
  </si>
  <si>
    <t>How are nonconforming outputs from this process identified, segregated, and dispositioned?</t>
  </si>
  <si>
    <t>NCR log; Segregation area photos; Disposition records</t>
  </si>
  <si>
    <t>Is nonconforming product identified, segregated, dispositioned, and customer notified when required?</t>
  </si>
  <si>
    <t>9.1</t>
  </si>
  <si>
    <t>Monitoring, measurement, analysis &amp; evaluation</t>
  </si>
  <si>
    <t>What is monitored/measured in the process, and how is the data analyzed and used?</t>
  </si>
  <si>
    <t>QC reports; Trend charts</t>
  </si>
  <si>
    <t>Are QC data (defect Pareto, FTQ, escape rate) analyzed and acted upon?</t>
  </si>
  <si>
    <t>10.2</t>
  </si>
  <si>
    <t>Nonconformity &amp; corrective action</t>
  </si>
  <si>
    <t>How are nonconformities reacted to, root-caused, corrected, and verified for effectiveness?</t>
  </si>
  <si>
    <t>CAPA records; RCA forms (5-Why/Fishbone)</t>
  </si>
  <si>
    <t>Is root-cause analysis performed for recurring defects, with effectiveness verified?</t>
  </si>
  <si>
    <t>QMS / Quality Management — ISO 9001:2015 Audit Checklist</t>
  </si>
  <si>
    <t>Scope: Document control, internal audit, CAPA, management of the QMS itself.</t>
  </si>
  <si>
    <t>Scope statement</t>
  </si>
  <si>
    <t>Is the QMS scope documented, justified, and current?</t>
  </si>
  <si>
    <t>Process map; KPI list</t>
  </si>
  <si>
    <t>Is the process map maintained, with owners, KPIs, and interactions defined?</t>
  </si>
  <si>
    <t>Controlled policy; Comms log</t>
  </si>
  <si>
    <t>Is the quality policy controlled, communicated, and periodically reviewed?</t>
  </si>
  <si>
    <t>Risk methodology; Consolidated risk register</t>
  </si>
  <si>
    <t>Is there a QMS-level risk methodology applied consistently across processes?</t>
  </si>
  <si>
    <t>Objectives dashboard</t>
  </si>
  <si>
    <t>Are quality objectives consolidated and reported QMS-wide?</t>
  </si>
  <si>
    <t>Document control procedure; Master list; Retention schedule</t>
  </si>
  <si>
    <t>Is documented information controlled (creation, approval, distribution, version, retention, protection, disposal)?</t>
  </si>
  <si>
    <t>Is the master document list current and accessible?</t>
  </si>
  <si>
    <t>MR pack; KPI dashboard</t>
  </si>
  <si>
    <t>Is QMS performance data collated and analyzed for management review?</t>
  </si>
  <si>
    <t>9.2</t>
  </si>
  <si>
    <t>Internal audit</t>
  </si>
  <si>
    <t>Has the process been internally audited per programme, and are findings closed effectively?</t>
  </si>
  <si>
    <t>Audit programme; Auditor competence records; Audit reports; CAPA closure</t>
  </si>
  <si>
    <t>Is the internal audit programme planned per importance/risk and prior results?</t>
  </si>
  <si>
    <t>Are auditors competent and independent of the area audited?</t>
  </si>
  <si>
    <t>Are findings closed within agreed timelines?</t>
  </si>
  <si>
    <t>MR agenda; Minutes; Action tracker</t>
  </si>
  <si>
    <t>Does the QMS team facilitate management reviews with all required inputs/outputs?</t>
  </si>
  <si>
    <t>Improvement register</t>
  </si>
  <si>
    <t>Is there a system to capture, prioritize, and action improvement opportunities?</t>
  </si>
  <si>
    <t>CAPA log; Effectiveness checks; Lessons-learned communications</t>
  </si>
  <si>
    <t>Is the CAPA system effective — issues recur less, effectiveness verified, learnings shared?</t>
  </si>
  <si>
    <t>Year-over-year KPI improvement; Maturity assessments</t>
  </si>
  <si>
    <t>Is QMS suitability, adequacy, and effectiveness continually improved (evidenced over multiple cycles)?</t>
  </si>
  <si>
    <t>Human Resources — ISO 9001:2015 Audit Checklist</t>
  </si>
  <si>
    <t>Scope: Recruitment, competence, training, awareness, performance, work environment.</t>
  </si>
  <si>
    <t>Stakeholder register; Labour-law register</t>
  </si>
  <si>
    <t>Are employee/union/regulator requirements relevant to HR identified and met?</t>
  </si>
  <si>
    <t>Approved JDs; Authority matrix</t>
  </si>
  <si>
    <t>Are job descriptions and authorities documented, signed, and current for all QMS roles?</t>
  </si>
  <si>
    <t>HR risk register</t>
  </si>
  <si>
    <t>What HR risks (turnover, key-person, competence gaps) are identified and treated?</t>
  </si>
  <si>
    <t>HR KPI dashboard</t>
  </si>
  <si>
    <t>Are HR objectives (training completion, turnover, time-to-fill) set and tracked?</t>
  </si>
  <si>
    <t>Workplace assessments; Engagement survey</t>
  </si>
  <si>
    <t>Is the work environment (physical, social, psychological) suitable and monitored?</t>
  </si>
  <si>
    <t>Competency matrix; TNA; Training plans; Effectiveness evaluation</t>
  </si>
  <si>
    <t>Is competence defined per role; gaps identified via TNA; addressed via training/hiring; evaluated for effectiveness?</t>
  </si>
  <si>
    <t>7.3</t>
  </si>
  <si>
    <t>Awareness</t>
  </si>
  <si>
    <t>Are personnel aware of the policy, relevant objectives, their contribution, and consequences of nonconformity?</t>
  </si>
  <si>
    <t>Induction records; Awareness training records</t>
  </si>
  <si>
    <t>Do induction and refresher programmes ensure awareness of policy, objectives, contribution, and consequences of NC?</t>
  </si>
  <si>
    <t>Personnel files; Access controls</t>
  </si>
  <si>
    <t>Are personnel records (contracts, training, qualifications) controlled, protected, and retained per legal requirements?</t>
  </si>
  <si>
    <t>HR analytics reports</t>
  </si>
  <si>
    <t>Are HR KPIs analyzed and reported (training effectiveness, attrition, grievances)?</t>
  </si>
  <si>
    <t>CAPA on competence gaps</t>
  </si>
  <si>
    <t>Are HR-related NCs (e.g., expired certifications) corrected with root-cause action?</t>
  </si>
  <si>
    <t>Operations — ISO 9001:2015 Audit Checklist</t>
  </si>
  <si>
    <t>Scope: Day-to-day operational planning, control of routine service/product delivery.</t>
  </si>
  <si>
    <t>Process map; SIPOC</t>
  </si>
  <si>
    <t>Is the operations process map defined with KPIs and interactions to upstream/downstream processes?</t>
  </si>
  <si>
    <t>Operations risk register</t>
  </si>
  <si>
    <t>Are operational risks (capacity, equipment, supply, safety) identified and controlled?</t>
  </si>
  <si>
    <t>Are operational objectives (OTD, throughput, OEE, quality) set and tracked?</t>
  </si>
  <si>
    <t>PM schedule; Maintenance records</t>
  </si>
  <si>
    <t>Are infrastructure and utilities maintained per plan?</t>
  </si>
  <si>
    <t>SOP master list; Shop-floor copies</t>
  </si>
  <si>
    <t>Are SOPs/work instructions current at point of use?</t>
  </si>
  <si>
    <t>Operations plan; Schedule</t>
  </si>
  <si>
    <t>Are operations planned with criteria, resources, controls, and records (production/service plan)?</t>
  </si>
  <si>
    <t>Process logs; Traceability records; Service records</t>
  </si>
  <si>
    <t>Are activities controlled (parameters, identification, traceability, preservation)?</t>
  </si>
  <si>
    <t>Is post-delivery activity (warranty, service) controlled?</t>
  </si>
  <si>
    <t>Release records</t>
  </si>
  <si>
    <t>Is release authorized only after planned arrangements complete?</t>
  </si>
  <si>
    <t>NCR log</t>
  </si>
  <si>
    <t>Are operational nonconformities identified, contained, and dispositioned?</t>
  </si>
  <si>
    <t>KPI reviews; Tier meetings</t>
  </si>
  <si>
    <t>Are operational KPIs reviewed and corrective actions triggered on adverse trends?</t>
  </si>
  <si>
    <t>CAPA records</t>
  </si>
  <si>
    <t>Are operational NCs root-caused and corrective actions verified?</t>
  </si>
  <si>
    <t>Engineering / Design — ISO 9001:2015 Audit Checklist</t>
  </si>
  <si>
    <t>Scope: Design &amp; development, technical specifications, drawings, change control.</t>
  </si>
  <si>
    <t>Design risk register; DFMEA</t>
  </si>
  <si>
    <t>Are technical/design risks (interface, regulatory, reliability) identified and treated?</t>
  </si>
  <si>
    <t>ECN procedure; ECN log; Impact analyses</t>
  </si>
  <si>
    <t>Are engineering changes (ECN/ECR) controlled with impact assessment, approval, implementation, and verification?</t>
  </si>
  <si>
    <t>Engineer competency matrix</t>
  </si>
  <si>
    <t>Are engineers qualified for their discipline (e.g., chartered status, software-tool competence)?</t>
  </si>
  <si>
    <t>PDM/PLM records; Drawing register; Revision history</t>
  </si>
  <si>
    <t>Are drawings, specs, calculations, and models version-controlled, with obsolete revisions removed from use?</t>
  </si>
  <si>
    <t>8.3</t>
  </si>
  <si>
    <t>Design &amp; development</t>
  </si>
  <si>
    <t>If design &amp; development applies, is it planned, controlled, verified, and validated?</t>
  </si>
  <si>
    <t>D&amp;D plan; Inputs/outputs; Review/V&amp;V records; Design change records</t>
  </si>
  <si>
    <t>Is design &amp; development planned with stages, reviews, verification, validation, and design transfer?</t>
  </si>
  <si>
    <t>Are inputs (functional, regulatory, customer) captured and outputs traceable to inputs?</t>
  </si>
  <si>
    <t>Are design changes controlled and the impact on already-delivered product assessed?</t>
  </si>
  <si>
    <t>Consultant evaluation; Deliverable verification</t>
  </si>
  <si>
    <t>Are externally provided design services (consultants) controlled and verified?</t>
  </si>
  <si>
    <t>Design KPI reports</t>
  </si>
  <si>
    <t>Are design KPIs (defects after release, ECN volume, on-time delivery) analyzed?</t>
  </si>
  <si>
    <t>Design CAPA; Lessons learned database</t>
  </si>
  <si>
    <t>Are design-related field issues root-caused and feedback to D&amp;D?</t>
  </si>
  <si>
    <t>Construction — ISO 9001:2015 Audit Checklist</t>
  </si>
  <si>
    <t>Scope: Site execution, ITPs, subcontractor control, site QA/QC, handover.</t>
  </si>
  <si>
    <t>Project risk register</t>
  </si>
  <si>
    <t>Are site-specific HSE and quality risks identified and treated?</t>
  </si>
  <si>
    <t>Equipment register; Calibration records</t>
  </si>
  <si>
    <t>Are site equipment, calibrated tools, and welfare facilities provided and maintained?</t>
  </si>
  <si>
    <t>Operator certifications</t>
  </si>
  <si>
    <t>Are welders, NDT operators, supervisors, and crane operators qualified and certifications current?</t>
  </si>
  <si>
    <t>Site document register; Superseded-drawing log</t>
  </si>
  <si>
    <t>Are IFC drawings, method statements, and ITPs at point of work and at correct revision?</t>
  </si>
  <si>
    <t>Project quality plan; ITPs; Method statements</t>
  </si>
  <si>
    <t>Is construction planned with ITPs, hold/witness points, and acceptance criteria?</t>
  </si>
  <si>
    <t>ASL; Subcontractor performance reports; Site surveillance</t>
  </si>
  <si>
    <t>Are subcontractors approved, monitored on site, and re-evaluated based on performance?</t>
  </si>
  <si>
    <t>Permit-to-work; Material traceability; Heat numbers</t>
  </si>
  <si>
    <t>Are activities controlled (work permits, identification, material traceability, weather/preservation)?</t>
  </si>
  <si>
    <t>Is customer-supplied material protected and accounted for?</t>
  </si>
  <si>
    <t>Signed-off ITP records</t>
  </si>
  <si>
    <t>Are inspection releases (checksheets, NDT, hydrotest) signed before next stage?</t>
  </si>
  <si>
    <t>Site NCR log</t>
  </si>
  <si>
    <t>Are site NCRs raised, dispositioned, and rework/re-inspection recorded?</t>
  </si>
  <si>
    <t>Site quality reports</t>
  </si>
  <si>
    <t>Are construction KPIs (rework rate, NCR ageing, schedule adherence) reported?</t>
  </si>
  <si>
    <t>Site CAPA</t>
  </si>
  <si>
    <t>Are recurring site defects root-caused and corrective actions implemented?</t>
  </si>
  <si>
    <t>Sales — ISO 9001:2015 Audit Checklist</t>
  </si>
  <si>
    <t>Scope: Customer requirements, contract review, quotations, order acceptance.</t>
  </si>
  <si>
    <t>Customer requirement register</t>
  </si>
  <si>
    <t>Are customer requirements (statutory, contractual, implied) captured and reviewed?</t>
  </si>
  <si>
    <t>Sales risk register</t>
  </si>
  <si>
    <t>Are sales risks (credit, demand, contract terms) identified and treated?</t>
  </si>
  <si>
    <t>Sales KPIs</t>
  </si>
  <si>
    <t>Are sales objectives (revenue, on-time quote, win-rate, customer satisfaction) set and tracked?</t>
  </si>
  <si>
    <t>CRM records; Contract files</t>
  </si>
  <si>
    <t>Are quotes, contracts, and order acknowledgements controlled and retained?</t>
  </si>
  <si>
    <t>8.2</t>
  </si>
  <si>
    <t>Requirements for products &amp; services</t>
  </si>
  <si>
    <t>How are customer/applicable requirements relevant to this process determined, reviewed, and changes managed?</t>
  </si>
  <si>
    <t>Contract review form; Order change records; Internal handover notes</t>
  </si>
  <si>
    <t>Is contract review performed before commitment to confirm capability to meet requirements?</t>
  </si>
  <si>
    <t>Are amendments to orders captured, agreed, and communicated to all affected functions?</t>
  </si>
  <si>
    <t>Complaints register</t>
  </si>
  <si>
    <t>Are customer complaints captured, classified, and routed for resolution?</t>
  </si>
  <si>
    <t>Survey results; Trend reports</t>
  </si>
  <si>
    <t>Is customer satisfaction monitored (surveys, NPS, complaints, returns) and acted upon?</t>
  </si>
  <si>
    <t>Complaint CAPA</t>
  </si>
  <si>
    <t>Are complaints root-caused and corrective action effectiveness verified?</t>
  </si>
  <si>
    <t>Marketing — ISO 9001:2015 Audit Checklist</t>
  </si>
  <si>
    <t>Scope: Market communication, brand, customer feedback channels, lead generation.</t>
  </si>
  <si>
    <t>Market analyses</t>
  </si>
  <si>
    <t>Is market context (competitors, trends, regulation) monitored and informing strategy?</t>
  </si>
  <si>
    <t>Compliance checklist for collateral</t>
  </si>
  <si>
    <t>Are customer/regulator/advertising-standard requirements identified for marketing communications?</t>
  </si>
  <si>
    <t>Marketing KPIs</t>
  </si>
  <si>
    <t>Are marketing objectives (lead gen, brand, conversion) set and tracked?</t>
  </si>
  <si>
    <t>7.4</t>
  </si>
  <si>
    <t>Communication</t>
  </si>
  <si>
    <t>Have internal/external communications relevant to the process been determined (what, when, who, how) and are they effective?</t>
  </si>
  <si>
    <t>Approval workflow; Style/brand guidelines</t>
  </si>
  <si>
    <t>Is external communication accurate, approved, and aligned to product reality?</t>
  </si>
  <si>
    <t>DAM/asset library; Withdrawal records</t>
  </si>
  <si>
    <t>Are marketing assets version-controlled and obsolete material withdrawn?</t>
  </si>
  <si>
    <t>Claims substantiation</t>
  </si>
  <si>
    <t>Are claims made in marketing collateral verifiable and aligned to product specification?</t>
  </si>
  <si>
    <t>Campaign reports</t>
  </si>
  <si>
    <t>Are campaign performance and customer feedback analyzed?</t>
  </si>
  <si>
    <t>Improvement log</t>
  </si>
  <si>
    <t>How are marketing improvements identified and implemented?</t>
  </si>
  <si>
    <t>Procurement — ISO 9001:2015 Audit Checklist</t>
  </si>
  <si>
    <t>Scope: Supplier evaluation, purchasing, externally provided processes/products.</t>
  </si>
  <si>
    <t>Supply risk register</t>
  </si>
  <si>
    <t>Are supply-chain risks (single-source, geo-political, lead time) identified and treated?</t>
  </si>
  <si>
    <t>Procurement KPIs</t>
  </si>
  <si>
    <t>Are procurement objectives (savings, OTIF supplier, supplier quality) set and tracked?</t>
  </si>
  <si>
    <t>PO files; Supplier contracts</t>
  </si>
  <si>
    <t>Are POs, supplier agreements, and approval records controlled and retained?</t>
  </si>
  <si>
    <t>Approved supplier list; Evaluation criteria &amp; scores; Re-evaluation cycle records; PO templates; Supplier scorecards</t>
  </si>
  <si>
    <t>Are external providers selected, evaluated, monitored, and re-evaluated against defined criteria?</t>
  </si>
  <si>
    <t>Is the type and extent of control over external providers determined based on risk and impact?</t>
  </si>
  <si>
    <t>Do POs clearly state requirements (specs, acceptance, statutory, qualification of personnel)?</t>
  </si>
  <si>
    <t>Supplier NCR records</t>
  </si>
  <si>
    <t>Are nonconforming purchases handled (return, rework, deviation) and supplier scored accordingly?</t>
  </si>
  <si>
    <t>Supplier scorecards; Review minutes</t>
  </si>
  <si>
    <t>Is supplier performance reviewed (quality, OTD, cost) on a defined cycle?</t>
  </si>
  <si>
    <t>CAPA on suppliers; ASL change log</t>
  </si>
  <si>
    <t>Are supplier-driven nonconformities driving corrective action and removal from ASL when warranted?</t>
  </si>
  <si>
    <t>Finance &amp; Accounts — ISO 9001:2015 Audit Checklist</t>
  </si>
  <si>
    <t>Scope: Financial controls, costing, payments, resource availability for the QMS.</t>
  </si>
  <si>
    <t>Budget approval for QMS activities</t>
  </si>
  <si>
    <t>Does Finance support QMS by ensuring resources are budgeted and approved?</t>
  </si>
  <si>
    <t>Financial risk register; Internal control matrix</t>
  </si>
  <si>
    <t>Are financial risks (FX, liquidity, credit, fraud) identified and controlled?</t>
  </si>
  <si>
    <t>Budget vs actual for QMS items</t>
  </si>
  <si>
    <t>Are financial resources for the QMS (training, calibration, audits, software) available when needed?</t>
  </si>
  <si>
    <t>CPA/ACCA certs; CPD logs</t>
  </si>
  <si>
    <t>Is finance staff competence (qualifications, CPD) maintained?</t>
  </si>
  <si>
    <t>Records retention schedule; Access controls</t>
  </si>
  <si>
    <t>Are financial records controlled, protected, and retained per legal requirements?</t>
  </si>
  <si>
    <t>Payment authorization matrix</t>
  </si>
  <si>
    <t>Are payments to suppliers controlled with segregation of duties?</t>
  </si>
  <si>
    <t>COQ reports; Variance analyses</t>
  </si>
  <si>
    <t>Are financial KPIs and cost-of-quality analyzed?</t>
  </si>
  <si>
    <t>Audit CAPA</t>
  </si>
  <si>
    <t>Are audit findings (internal/external) on financial controls corrected?</t>
  </si>
  <si>
    <t>Store — ISO 9001:2015 Audit Checklist</t>
  </si>
  <si>
    <t>Scope: Issue/receipt, stock accuracy, identification, preservation of stored items.</t>
  </si>
  <si>
    <t>Store layout; Environmental monitoring</t>
  </si>
  <si>
    <t>Are storage facilities (racks, bins, environment) suitable for items stored?</t>
  </si>
  <si>
    <t>GRN files; Issue records</t>
  </si>
  <si>
    <t>Are GRNs, issue notes, and stock records controlled and retained?</t>
  </si>
  <si>
    <t>Bin tags; Batch records; Shelf-life log; Customer property log</t>
  </si>
  <si>
    <t>Are items identified, traceable (batch/serial), and preserved (handling, packaging, contamination control)?</t>
  </si>
  <si>
    <t>Are FIFO/FEFO and shelf-life rules enforced?</t>
  </si>
  <si>
    <t>Are customer-supplied items segregated and identified?</t>
  </si>
  <si>
    <t>Quarantine area; Disposition records</t>
  </si>
  <si>
    <t>Are damaged/expired items segregated and dispositioned?</t>
  </si>
  <si>
    <t>Cycle-count results; Variance investigation</t>
  </si>
  <si>
    <t>Is stock accuracy measured (cycle counts) and acted upon?</t>
  </si>
  <si>
    <t>Store CAPA</t>
  </si>
  <si>
    <t>Are recurring stock discrepancies root-caused and corrected?</t>
  </si>
  <si>
    <t>ICT / IT — ISO 9001:2015 Audit Checklist</t>
  </si>
  <si>
    <t>Scope: Information systems, data integrity, backups, cybersecurity, system uptime.</t>
  </si>
  <si>
    <t>Compliance register (e.g., GDPR, ISO 27001 if applicable)</t>
  </si>
  <si>
    <t>Are user, regulatory (data protection), and security-standard requirements identified?</t>
  </si>
  <si>
    <t>ICT risk register; BIA</t>
  </si>
  <si>
    <t>Are ICT risks (cyber, availability, data integrity, vendor lock-in) identified and treated?</t>
  </si>
  <si>
    <t>ICT KPI dashboard</t>
  </si>
  <si>
    <t>Are ICT objectives (uptime, MTTR, ticket SLA, backup success) set and tracked?</t>
  </si>
  <si>
    <t>Change records; CAB minutes</t>
  </si>
  <si>
    <t>Are changes to ICT systems controlled (CAB, testing, rollback)?</t>
  </si>
  <si>
    <t>Infrastructure inventory; Monitoring dashboards</t>
  </si>
  <si>
    <t>Is infrastructure (servers, network, endpoints) maintained and monitored?</t>
  </si>
  <si>
    <t>Backup logs; Restore-test records; Access reviews</t>
  </si>
  <si>
    <t>Is documented information protected (access control, encryption, backup, disaster recovery, retention)?</t>
  </si>
  <si>
    <t>Are backups tested and restorable?</t>
  </si>
  <si>
    <t>SLAs; Capacity reports</t>
  </si>
  <si>
    <t>Are IT services planned and delivered with SLAs and capacity controls?</t>
  </si>
  <si>
    <t>Incident log; RCA reports</t>
  </si>
  <si>
    <t>Are incidents/outages handled and root-caused?</t>
  </si>
  <si>
    <t>Service reports</t>
  </si>
  <si>
    <t>Are ICT KPIs (availability, MTTR, ticket volume) analyzed?</t>
  </si>
  <si>
    <t>Problem records</t>
  </si>
  <si>
    <t>Is incident root-cause analysis driving permanent fixes?</t>
  </si>
  <si>
    <t>Warehouse — ISO 9001:2015 Audit Checklist</t>
  </si>
  <si>
    <t>Scope: Receipt, storage, FIFO/FEFO, dispatch, preservation, traceability.</t>
  </si>
  <si>
    <t>MHE inspection logs</t>
  </si>
  <si>
    <t>Are MHE (forklifts, racking) inspected and maintained?</t>
  </si>
  <si>
    <t>WMS records</t>
  </si>
  <si>
    <t>Are receiving, put-away, picking, and dispatch records controlled?</t>
  </si>
  <si>
    <t>GRN with inspection result</t>
  </si>
  <si>
    <t>Is incoming receipt verified against PO and supplier docs before put-away?</t>
  </si>
  <si>
    <t>Location/bin labels; Batch traceability; Customer property log</t>
  </si>
  <si>
    <t>Are items identified, traceable, preserved, and rotated per FIFO/FEFO?</t>
  </si>
  <si>
    <t>Is customer property handled and recorded separately?</t>
  </si>
  <si>
    <t>Dispatch checklist; PoD</t>
  </si>
  <si>
    <t>Are dispatches checked against pick lists/customer orders before release?</t>
  </si>
  <si>
    <t>Discrepancy log</t>
  </si>
  <si>
    <t>Are damaged/short/over receipts and dispatch errors handled and recorded?</t>
  </si>
  <si>
    <t>Warehouse KPI reports</t>
  </si>
  <si>
    <t>Are warehouse KPIs (inventory accuracy, dispatch OTIF, damage rate) analyzed?</t>
  </si>
  <si>
    <t>Warehouse CAPA</t>
  </si>
  <si>
    <t>Are recurring discrepancies/damages root-caused?</t>
  </si>
  <si>
    <t>Project Management — ISO 9001:2015 Audit Checklist</t>
  </si>
  <si>
    <t>Scope: Project planning, monitoring, change, stakeholder, closeout.</t>
  </si>
  <si>
    <t>Stakeholder register; RAM</t>
  </si>
  <si>
    <t>Are project stakeholders (client, regulator, partners) and their requirements identified and managed?</t>
  </si>
  <si>
    <t>Project org chart; RACI</t>
  </si>
  <si>
    <t>Are project roles, authorities, and reporting lines defined?</t>
  </si>
  <si>
    <t>Are project risks identified, quantified, and tracked through closure?</t>
  </si>
  <si>
    <t>Project KPIs; Progress reports</t>
  </si>
  <si>
    <t>Are project objectives (cost, schedule, quality, safety) defined with KPIs?</t>
  </si>
  <si>
    <t>Change-control log</t>
  </si>
  <si>
    <t>Is project change controlled (change request, impact, approval, baseline update)?</t>
  </si>
  <si>
    <t>Project document register</t>
  </si>
  <si>
    <t>Is project documentation (PEP, schedule, registers, MOMs) controlled and retained?</t>
  </si>
  <si>
    <t>PEP; Schedule; QMS plan</t>
  </si>
  <si>
    <t>Is the project planned (PEP, WBS, schedule, quality plan, communications plan)?</t>
  </si>
  <si>
    <t>Progress reports; EVM data</t>
  </si>
  <si>
    <t>Is project execution controlled with progress monitoring and earned-value or equivalent?</t>
  </si>
  <si>
    <t>Handover certificate; Closeout report</t>
  </si>
  <si>
    <t>Is handover/closeout performed with acceptance criteria met and documentation transferred?</t>
  </si>
  <si>
    <t>Steering committee minutes</t>
  </si>
  <si>
    <t>Are project performance reviews conducted and reported?</t>
  </si>
  <si>
    <t>Lessons-learned register</t>
  </si>
  <si>
    <t>Are lessons learned captured and shared across projects?</t>
  </si>
  <si>
    <t>Project CAPA</t>
  </si>
  <si>
    <t>Are project NCs and incidents root-caused and corrective actions verified?</t>
  </si>
  <si>
    <t>Administration — ISO 9001:2015 Audit Checklist</t>
  </si>
  <si>
    <t>Scope: Facilities, records, travel, general services, support to operations.</t>
  </si>
  <si>
    <t>Facility maintenance plan; Cleaning schedule</t>
  </si>
  <si>
    <t>Are facilities (offices, utilities, cleanliness, security) suitable and maintained?</t>
  </si>
  <si>
    <t>Communications matrix</t>
  </si>
  <si>
    <t>Are internal communications (notices, intranet, email distribution lists) effective?</t>
  </si>
  <si>
    <t>Records inventory</t>
  </si>
  <si>
    <t>Are general records (visitor logs, travel, asset register) controlled?</t>
  </si>
  <si>
    <t>Vendor evaluations</t>
  </si>
  <si>
    <t>Are facility/admin service providers (cleaning, security, catering) evaluated?</t>
  </si>
  <si>
    <t>Admin reports</t>
  </si>
  <si>
    <t>Are admin KPIs (facility downtime, complaint resolution) tracked?</t>
  </si>
  <si>
    <t>Admin CAPA</t>
  </si>
  <si>
    <t>Are admin issues root-caused and corrective actions taken?</t>
  </si>
  <si>
    <t>Production / Manufacturing — ISO 9001:2015 Audit Checklist</t>
  </si>
  <si>
    <t>Scope: Production planning, process control, identification, traceability, release.</t>
  </si>
  <si>
    <t>Process map; Control plan</t>
  </si>
  <si>
    <t>Is the production process defined with inputs, outputs, controls, and KPIs (OEE, FTQ, OTD)?</t>
  </si>
  <si>
    <t>PFMEA; Risk register</t>
  </si>
  <si>
    <t>Are production risks (equipment failure, quality escape, safety) identified and treated (PFMEA)?</t>
  </si>
  <si>
    <t>Production KPI dashboard</t>
  </si>
  <si>
    <t>Are production objectives (yield, scrap, rework, OEE) set and tracked?</t>
  </si>
  <si>
    <t>PM records; Validation records (welding, heat treat, etc.)</t>
  </si>
  <si>
    <t>Are equipment, tooling, and utilities maintained per PM plan?</t>
  </si>
  <si>
    <t>Is process validation maintained for special processes?</t>
  </si>
  <si>
    <t>Operator qualifications</t>
  </si>
  <si>
    <t>Are operators qualified for special processes (welding, soldering, NDT) and currency maintained?</t>
  </si>
  <si>
    <t>Workstation document audits</t>
  </si>
  <si>
    <t>Are work instructions, drawings, and control plans at the workstation at correct revision?</t>
  </si>
  <si>
    <t>Production plan; Schedule</t>
  </si>
  <si>
    <t>Is production planned with capacity, materials, tooling, and quality controls?</t>
  </si>
  <si>
    <t>Process logs; Traceability records; Warranty data</t>
  </si>
  <si>
    <t>Are activities controlled (process parameters monitored, identification, traceability, preservation)?</t>
  </si>
  <si>
    <t>Is post-delivery (warranty/field service) feedback captured?</t>
  </si>
  <si>
    <t>Is product released only after planned arrangements (final inspection) complete?</t>
  </si>
  <si>
    <t>NCR log; Quarantine area</t>
  </si>
  <si>
    <t>Is nonconforming product identified, segregated, and dispositioned (rework/scrap/concession)?</t>
  </si>
  <si>
    <t>KPI reviews</t>
  </si>
  <si>
    <t>Are production KPIs analyzed and corrective actions triggered on adverse trends?</t>
  </si>
  <si>
    <t>Are recurring production issues root-caused (5-Why/Ishikawa) and effectiveness verified?</t>
  </si>
  <si>
    <t>Improvement project register</t>
  </si>
  <si>
    <t>Is there evidence of continual improvement (Kaizen, Six-Sigma projects) with measured benefits?</t>
  </si>
  <si>
    <t>Business Development — ISO 9001:2015 Audit Checklist</t>
  </si>
  <si>
    <t>Scope: Opportunity identification, partnerships, new market entry, growth planning.</t>
  </si>
  <si>
    <t>Market intelligence reports</t>
  </si>
  <si>
    <t>Is market and competitive context analyzed to inform BD strategy?</t>
  </si>
  <si>
    <t>Opportunity assessment template</t>
  </si>
  <si>
    <t>Are prospect/partner/regulatory requirements identified for new opportunities?</t>
  </si>
  <si>
    <t>Opportunity risk assessment</t>
  </si>
  <si>
    <t>Are BD risks (entry, partner, regulatory, reputational) assessed before commitment?</t>
  </si>
  <si>
    <t>BD KPIs</t>
  </si>
  <si>
    <t>Are BD objectives (pipeline, conversion, new-market revenue) set and tracked?</t>
  </si>
  <si>
    <t>BD opportunity register</t>
  </si>
  <si>
    <t>Are opportunity files, NDAs, MoUs, and partnership agreements controlled?</t>
  </si>
  <si>
    <t>Bid/no-bid records; Gate review minutes</t>
  </si>
  <si>
    <t>Is feasibility/capability reviewed before committing to a new opportunity (gate review)?</t>
  </si>
  <si>
    <t>Partner due diligence</t>
  </si>
  <si>
    <t>Are partners/agents evaluated for capability, integrity, and compliance?</t>
  </si>
  <si>
    <t>Pipeline reports; Win/loss reviews</t>
  </si>
  <si>
    <t>Are BD pipeline and win/loss analyzed?</t>
  </si>
  <si>
    <t>Lessons-learned communications</t>
  </si>
  <si>
    <t>Are improvement opportunities from win/loss fed back to product, sales, and operations?</t>
  </si>
  <si>
    <t>Consolidated Findings Log</t>
  </si>
  <si>
    <t>Finding #</t>
  </si>
  <si>
    <t>Severity</t>
  </si>
  <si>
    <t>Finding Statement</t>
  </si>
  <si>
    <t>Evidence</t>
  </si>
  <si>
    <t>Root Cause</t>
  </si>
  <si>
    <t>Corrective Action</t>
  </si>
  <si>
    <t>Owner</t>
  </si>
  <si>
    <t>Due Date</t>
  </si>
  <si>
    <t>Minor NC</t>
  </si>
  <si>
    <t>2 - Medium</t>
  </si>
  <si>
    <t>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</si>
</sst>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8"/>
      <color rgb="FF16243A"/>
      <name val="Arial"/>
    </font>
    <font>
      <i/>
      <sz val="10"/>
      <color rgb="FF5A6577"/>
      <name val="Arial"/>
    </font>
    <font>
      <b/>
      <sz val="11"/>
      <color rgb="FFFAF6EE"/>
      <name val="Arial"/>
    </font>
    <font>
      <b/>
      <sz val="11"/>
      <name val="Arial"/>
    </font>
    <font>
      <u/>
      <sz val="11"/>
      <color rgb="FF1F3F70"/>
      <name val="Arial"/>
    </font>
    <font>
      <b/>
      <sz val="14"/>
      <color rgb="FF16243A"/>
      <name val="Arial"/>
    </font>
    <font>
      <b/>
      <sz val="11"/>
      <color rgb="FF16243A"/>
      <name val="Arial"/>
    </font>
    <font>
      <b/>
      <sz val="11"/>
      <color rgb="FFFAF6EE"/>
      <name val="Arial"/>
    </font>
    <font>
      <b/>
      <sz val="14"/>
      <color rgb="FFC4671A"/>
      <name val="Arial"/>
    </font>
    <font>
      <b/>
      <sz val="16"/>
      <color rgb="FF16243A"/>
      <name val="Arial"/>
    </font>
  </fonts>
  <fills count="6">
    <fill>
      <patternFill patternType="none"/>
    </fill>
    <fill>
      <patternFill patternType="gray125"/>
    </fill>
    <fill>
      <patternFill patternType="solid">
        <fgColor rgb="FF16243A"/>
      </patternFill>
    </fill>
    <fill>
      <patternFill patternType="solid">
        <fgColor rgb="FFC4671A"/>
      </patternFill>
    </fill>
    <fill>
      <patternFill patternType="solid">
        <fgColor rgb="FFD8E3F0"/>
      </patternFill>
    </fill>
    <fill>
      <patternFill patternType="solid">
        <fgColor rgb="FFF6E3B3"/>
      </patternFill>
    </fill>
  </fills>
  <borders count="9">
    <border>
      <left/>
      <right/>
      <top/>
      <bottom/>
      <diagonal/>
    </border>
    <border>
      <left style="thin">
        <color rgb="FFC8CDD6"/>
      </left>
      <right style="thin">
        <color rgb="FFC8CDD6"/>
      </right>
      <top style="thin">
        <color rgb="FFC8CDD6"/>
      </top>
      <bottom style="thin">
        <color rgb="FFC8CDD6"/>
      </bottom>
      <diagonal/>
    </border>
    <border>
      <left/>
      <right/>
      <top style="thin">
        <color rgb="FFC8CDD6"/>
      </top>
      <bottom style="thin">
        <color rgb="FFC8CDD6"/>
      </bottom>
      <diagonal/>
    </border>
    <border>
      <left/>
      <right style="thin">
        <color rgb="FFC8CDD6"/>
      </right>
      <top style="thin">
        <color rgb="FFC8CDD6"/>
      </top>
      <bottom style="thin">
        <color rgb="FFC8CDD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8CDD6"/>
      </left>
      <right style="thin">
        <color rgb="FFC8CDD6"/>
      </right>
      <top style="thin">
        <color rgb="FFC8CDD6"/>
      </top>
      <bottom/>
      <diagonal/>
    </border>
    <border>
      <left/>
      <right/>
      <top style="thin">
        <color rgb="FFC8CDD6"/>
      </top>
      <bottom/>
      <diagonal/>
    </border>
    <border>
      <left/>
      <right style="thin">
        <color rgb="FFC8CDD6"/>
      </right>
      <top style="thin">
        <color rgb="FFC8CDD6"/>
      </top>
      <bottom/>
      <diagonal/>
    </border>
    <border>
      <left style="thin">
        <color rgb="FFC8CDD6"/>
      </left>
      <right style="thin">
        <color rgb="FFC8CDD6"/>
      </right>
      <top/>
      <bottom style="thin">
        <color rgb="FFC8CDD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0" xfId="0" applyFont="1"/>
    <xf numFmtId="164" fontId="9" fillId="0" borderId="0" xfId="0" applyNumberFormat="1" applyFont="1"/>
    <xf numFmtId="0" fontId="8" fillId="3" borderId="1" xfId="0" applyFon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8" fillId="3" borderId="5" xfId="0" applyFont="1" applyFill="1" applyBorder="1"/>
    <xf numFmtId="0" fontId="0" fillId="0" borderId="4" xfId="0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8" fillId="3" borderId="4" xfId="0" applyFont="1" applyFill="1" applyBorder="1"/>
    <xf numFmtId="0" fontId="0" fillId="0" borderId="4" xfId="0" applyBorder="1"/>
    <xf numFmtId="0" fontId="3" fillId="2" borderId="8" xfId="0" applyFont="1" applyFill="1" applyBorder="1" applyAlignment="1">
      <alignment horizontal="center" vertical="center" wrapText="1"/>
    </xf>
    <xf numFmtId="0" fontId="7" fillId="0" borderId="4" xfId="0" applyFont="1" applyBorder="1"/>
    <xf numFmtId="164" fontId="9" fillId="0" borderId="4" xfId="0" applyNumberFormat="1" applyFont="1" applyBorder="1"/>
    <xf numFmtId="0" fontId="8" fillId="3" borderId="1" xfId="0" applyFont="1" applyFill="1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/>
    <xf numFmtId="0" fontId="0" fillId="0" borderId="4" xfId="0" applyBorder="1"/>
    <xf numFmtId="0" fontId="2" fillId="0" borderId="4" xfId="0" applyFont="1" applyBorder="1"/>
    <xf numFmtId="0" fontId="1" fillId="0" borderId="0" xfId="0" applyFont="1"/>
    <xf numFmtId="0" fontId="0" fillId="0" borderId="0" xfId="0"/>
    <xf numFmtId="0" fontId="2" fillId="0" borderId="0" xfId="0" applyFont="1"/>
    <xf numFmtId="0" fontId="8" fillId="3" borderId="4" xfId="0" applyFont="1" applyFill="1" applyBorder="1"/>
    <xf numFmtId="0" fontId="8" fillId="3" borderId="5" xfId="0" applyFont="1" applyFill="1" applyBorder="1"/>
    <xf numFmtId="0" fontId="0" fillId="0" borderId="6" xfId="0" applyBorder="1"/>
    <xf numFmtId="0" fontId="0" fillId="0" borderId="7" xfId="0" applyBorder="1"/>
    <xf numFmtId="0" fontId="6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opLeftCell="A6" workbookViewId="0">
      <selection sqref="A1:K1"/>
    </sheetView>
  </sheetViews>
  <sheetFormatPr defaultRowHeight="15" x14ac:dyDescent="0.25"/>
  <cols>
    <col min="1" max="1" width="5" customWidth="1"/>
    <col min="2" max="2" width="28" customWidth="1"/>
    <col min="3" max="3" width="70" customWidth="1"/>
    <col min="4" max="4" width="26" customWidth="1"/>
  </cols>
  <sheetData>
    <row r="1" spans="1:4" ht="23.25" x14ac:dyDescent="0.35">
      <c r="A1" s="26" t="s">
        <v>0</v>
      </c>
      <c r="B1" s="27"/>
      <c r="C1" s="27"/>
      <c r="D1" s="27"/>
    </row>
    <row r="2" spans="1:4" x14ac:dyDescent="0.25">
      <c r="A2" s="28" t="s">
        <v>1</v>
      </c>
      <c r="B2" s="27"/>
      <c r="C2" s="27"/>
      <c r="D2" s="27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32.1" customHeight="1" x14ac:dyDescent="0.25">
      <c r="A5" s="2">
        <v>1</v>
      </c>
      <c r="B5" s="3" t="s">
        <v>6</v>
      </c>
      <c r="C5" s="4" t="s">
        <v>7</v>
      </c>
      <c r="D5" s="5" t="s">
        <v>6</v>
      </c>
    </row>
    <row r="6" spans="1:4" ht="32.1" customHeight="1" x14ac:dyDescent="0.25">
      <c r="A6" s="2">
        <v>2</v>
      </c>
      <c r="B6" s="3" t="s">
        <v>8</v>
      </c>
      <c r="C6" s="4" t="s">
        <v>9</v>
      </c>
      <c r="D6" s="5" t="s">
        <v>10</v>
      </c>
    </row>
    <row r="7" spans="1:4" ht="32.1" customHeight="1" x14ac:dyDescent="0.25">
      <c r="A7" s="2">
        <v>3</v>
      </c>
      <c r="B7" s="3" t="s">
        <v>11</v>
      </c>
      <c r="C7" s="4" t="s">
        <v>12</v>
      </c>
      <c r="D7" s="5" t="s">
        <v>13</v>
      </c>
    </row>
    <row r="8" spans="1:4" ht="32.1" customHeight="1" x14ac:dyDescent="0.25">
      <c r="A8" s="2">
        <v>4</v>
      </c>
      <c r="B8" s="3" t="s">
        <v>14</v>
      </c>
      <c r="C8" s="4" t="s">
        <v>15</v>
      </c>
      <c r="D8" s="5" t="s">
        <v>14</v>
      </c>
    </row>
    <row r="9" spans="1:4" ht="32.1" customHeight="1" x14ac:dyDescent="0.25">
      <c r="A9" s="2">
        <v>5</v>
      </c>
      <c r="B9" s="3" t="s">
        <v>16</v>
      </c>
      <c r="C9" s="4" t="s">
        <v>17</v>
      </c>
      <c r="D9" s="5" t="s">
        <v>16</v>
      </c>
    </row>
    <row r="10" spans="1:4" ht="32.1" customHeight="1" x14ac:dyDescent="0.25">
      <c r="A10" s="2">
        <v>6</v>
      </c>
      <c r="B10" s="3" t="s">
        <v>18</v>
      </c>
      <c r="C10" s="4" t="s">
        <v>19</v>
      </c>
      <c r="D10" s="5" t="s">
        <v>20</v>
      </c>
    </row>
    <row r="11" spans="1:4" ht="32.1" customHeight="1" x14ac:dyDescent="0.25">
      <c r="A11" s="2">
        <v>7</v>
      </c>
      <c r="B11" s="3" t="s">
        <v>21</v>
      </c>
      <c r="C11" s="4" t="s">
        <v>22</v>
      </c>
      <c r="D11" s="5" t="s">
        <v>21</v>
      </c>
    </row>
    <row r="12" spans="1:4" ht="32.1" customHeight="1" x14ac:dyDescent="0.25">
      <c r="A12" s="2">
        <v>8</v>
      </c>
      <c r="B12" s="3" t="s">
        <v>23</v>
      </c>
      <c r="C12" s="4" t="s">
        <v>24</v>
      </c>
      <c r="D12" s="5" t="s">
        <v>23</v>
      </c>
    </row>
    <row r="13" spans="1:4" ht="32.1" customHeight="1" x14ac:dyDescent="0.25">
      <c r="A13" s="2">
        <v>9</v>
      </c>
      <c r="B13" s="3" t="s">
        <v>25</v>
      </c>
      <c r="C13" s="4" t="s">
        <v>26</v>
      </c>
      <c r="D13" s="5" t="s">
        <v>25</v>
      </c>
    </row>
    <row r="14" spans="1:4" ht="32.1" customHeight="1" x14ac:dyDescent="0.25">
      <c r="A14" s="2">
        <v>10</v>
      </c>
      <c r="B14" s="3" t="s">
        <v>27</v>
      </c>
      <c r="C14" s="4" t="s">
        <v>28</v>
      </c>
      <c r="D14" s="5" t="s">
        <v>27</v>
      </c>
    </row>
    <row r="15" spans="1:4" ht="32.1" customHeight="1" x14ac:dyDescent="0.25">
      <c r="A15" s="2">
        <v>11</v>
      </c>
      <c r="B15" s="3" t="s">
        <v>29</v>
      </c>
      <c r="C15" s="4" t="s">
        <v>30</v>
      </c>
      <c r="D15" s="5" t="s">
        <v>29</v>
      </c>
    </row>
    <row r="16" spans="1:4" ht="32.1" customHeight="1" x14ac:dyDescent="0.25">
      <c r="A16" s="2">
        <v>12</v>
      </c>
      <c r="B16" s="3" t="s">
        <v>31</v>
      </c>
      <c r="C16" s="4" t="s">
        <v>32</v>
      </c>
      <c r="D16" s="5" t="s">
        <v>31</v>
      </c>
    </row>
    <row r="17" spans="1:4" ht="32.1" customHeight="1" x14ac:dyDescent="0.25">
      <c r="A17" s="2">
        <v>13</v>
      </c>
      <c r="B17" s="3" t="s">
        <v>33</v>
      </c>
      <c r="C17" s="4" t="s">
        <v>34</v>
      </c>
      <c r="D17" s="5" t="s">
        <v>35</v>
      </c>
    </row>
    <row r="18" spans="1:4" ht="32.1" customHeight="1" x14ac:dyDescent="0.25">
      <c r="A18" s="2">
        <v>14</v>
      </c>
      <c r="B18" s="3" t="s">
        <v>36</v>
      </c>
      <c r="C18" s="4" t="s">
        <v>37</v>
      </c>
      <c r="D18" s="5" t="s">
        <v>36</v>
      </c>
    </row>
    <row r="19" spans="1:4" ht="32.1" customHeight="1" x14ac:dyDescent="0.25">
      <c r="A19" s="2">
        <v>15</v>
      </c>
      <c r="B19" s="3" t="s">
        <v>38</v>
      </c>
      <c r="C19" s="4" t="s">
        <v>39</v>
      </c>
      <c r="D19" s="5" t="s">
        <v>38</v>
      </c>
    </row>
    <row r="20" spans="1:4" ht="32.1" customHeight="1" x14ac:dyDescent="0.25">
      <c r="A20" s="2">
        <v>16</v>
      </c>
      <c r="B20" s="3" t="s">
        <v>40</v>
      </c>
      <c r="C20" s="4" t="s">
        <v>41</v>
      </c>
      <c r="D20" s="5" t="s">
        <v>40</v>
      </c>
    </row>
    <row r="21" spans="1:4" ht="32.1" customHeight="1" x14ac:dyDescent="0.25">
      <c r="A21" s="2">
        <v>17</v>
      </c>
      <c r="B21" s="3" t="s">
        <v>42</v>
      </c>
      <c r="C21" s="4" t="s">
        <v>43</v>
      </c>
      <c r="D21" s="5" t="s">
        <v>44</v>
      </c>
    </row>
    <row r="22" spans="1:4" ht="32.1" customHeight="1" x14ac:dyDescent="0.25">
      <c r="A22" s="2">
        <v>18</v>
      </c>
      <c r="B22" s="3" t="s">
        <v>45</v>
      </c>
      <c r="C22" s="4" t="s">
        <v>46</v>
      </c>
      <c r="D22" s="5" t="s">
        <v>45</v>
      </c>
    </row>
  </sheetData>
  <mergeCells count="2">
    <mergeCell ref="A1:D1"/>
    <mergeCell ref="A2:D2"/>
  </mergeCells>
  <hyperlinks>
    <hyperlink ref="D5" location="'Top Management'!A1" display="Top Management" xr:uid="{00000000-0004-0000-0000-000000000000}"/>
    <hyperlink ref="D6" location="'QA - QC'!A1" display="QA - QC" xr:uid="{00000000-0004-0000-0000-000001000000}"/>
    <hyperlink ref="D7" location="'QMS - Quality Management'!A1" display="QMS - Quality Management" xr:uid="{00000000-0004-0000-0000-000002000000}"/>
    <hyperlink ref="D8" location="'Human Resources'!A1" display="Human Resources" xr:uid="{00000000-0004-0000-0000-000003000000}"/>
    <hyperlink ref="D9" location="'Operations'!A1" display="Operations" xr:uid="{00000000-0004-0000-0000-000004000000}"/>
    <hyperlink ref="D10" location="'Engineering - Design'!A1" display="Engineering - Design" xr:uid="{00000000-0004-0000-0000-000005000000}"/>
    <hyperlink ref="D11" location="'Construction'!A1" display="Construction" xr:uid="{00000000-0004-0000-0000-000006000000}"/>
    <hyperlink ref="D12" location="'Sales'!A1" display="Sales" xr:uid="{00000000-0004-0000-0000-000007000000}"/>
    <hyperlink ref="D13" location="'Marketing'!A1" display="Marketing" xr:uid="{00000000-0004-0000-0000-000008000000}"/>
    <hyperlink ref="D14" location="'Procurement'!A1" display="Procurement" xr:uid="{00000000-0004-0000-0000-000009000000}"/>
    <hyperlink ref="D15" location="'Finance &amp; Accounts'!A1" display="Finance &amp; Accounts" xr:uid="{00000000-0004-0000-0000-00000A000000}"/>
    <hyperlink ref="D16" location="'Store'!A1" display="Store" xr:uid="{00000000-0004-0000-0000-00000B000000}"/>
    <hyperlink ref="D17" location="'ICT - IT'!A1" display="ICT - IT" xr:uid="{00000000-0004-0000-0000-00000C000000}"/>
    <hyperlink ref="D18" location="'Warehouse'!A1" display="Warehouse" xr:uid="{00000000-0004-0000-0000-00000D000000}"/>
    <hyperlink ref="D19" location="'Project Management'!A1" display="Project Management" xr:uid="{00000000-0004-0000-0000-00000E000000}"/>
    <hyperlink ref="D20" location="'Administration'!A1" display="Administration" xr:uid="{00000000-0004-0000-0000-00000F000000}"/>
    <hyperlink ref="D21" location="'Production - Manufacturing'!A1" display="Production - Manufacturing" xr:uid="{00000000-0004-0000-0000-000010000000}"/>
    <hyperlink ref="D22" location="'Business Development'!A1" display="Business Development" xr:uid="{00000000-0004-0000-0000-00001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topLeftCell="E1" workbookViewId="0">
      <pane ySplit="7" topLeftCell="A8" activePane="bottomLeft" state="frozen"/>
      <selection sqref="A1:K1"/>
      <selection pane="bottomLeft" sqref="A1:K1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41.85546875" customWidth="1"/>
    <col min="5" max="5" width="30.7109375" customWidth="1"/>
    <col min="6" max="6" width="38" customWidth="1"/>
    <col min="7" max="7" width="19.140625" customWidth="1"/>
    <col min="8" max="9" width="14" customWidth="1"/>
    <col min="10" max="11" width="16" customWidth="1"/>
  </cols>
  <sheetData>
    <row r="1" spans="1:11" ht="18" x14ac:dyDescent="0.25">
      <c r="A1" s="33" t="s">
        <v>47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8" t="s">
        <v>48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25">
      <c r="A4" s="6" t="s">
        <v>49</v>
      </c>
      <c r="C4" s="6" t="s">
        <v>50</v>
      </c>
      <c r="F4" s="6" t="s">
        <v>51</v>
      </c>
      <c r="I4" s="6" t="s">
        <v>52</v>
      </c>
      <c r="K4" s="6" t="s">
        <v>53</v>
      </c>
    </row>
    <row r="5" spans="1:11" ht="18" customHeight="1" x14ac:dyDescent="0.25">
      <c r="A5" s="6" t="s">
        <v>54</v>
      </c>
      <c r="C5" s="6" t="s">
        <v>55</v>
      </c>
      <c r="D5" t="s">
        <v>56</v>
      </c>
      <c r="F5" s="6" t="s">
        <v>57</v>
      </c>
      <c r="K5" s="7">
        <f>IFERROR(COUNTIF(H8:H56,"Conformant")/(COUNTA(H8:H56)-COUNTIF(H8:H56,"Pending")-COUNTIF(H8:H56,"N/A")),0)</f>
        <v>0</v>
      </c>
    </row>
    <row r="7" spans="1:11" ht="27.95" customHeight="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11" t="s">
        <v>69</v>
      </c>
      <c r="B8" s="30" t="s">
        <v>70</v>
      </c>
      <c r="C8" s="31"/>
      <c r="D8" s="31"/>
      <c r="E8" s="31"/>
      <c r="F8" s="31"/>
      <c r="G8" s="31"/>
      <c r="H8" s="31"/>
      <c r="I8" s="31"/>
      <c r="J8" s="31"/>
      <c r="K8" s="32"/>
    </row>
    <row r="9" spans="1:11" ht="60" customHeight="1" x14ac:dyDescent="0.25">
      <c r="A9" s="12" t="s">
        <v>69</v>
      </c>
      <c r="B9" s="12" t="s">
        <v>70</v>
      </c>
      <c r="C9" s="13" t="s">
        <v>71</v>
      </c>
      <c r="D9" s="12" t="s">
        <v>72</v>
      </c>
      <c r="E9" s="12" t="s">
        <v>73</v>
      </c>
      <c r="F9" s="12" t="s">
        <v>74</v>
      </c>
      <c r="G9" s="12"/>
      <c r="H9" s="12" t="s">
        <v>75</v>
      </c>
      <c r="I9" s="12" t="s">
        <v>76</v>
      </c>
      <c r="J9" s="12"/>
      <c r="K9" s="12"/>
    </row>
    <row r="10" spans="1:11" ht="60" customHeight="1" x14ac:dyDescent="0.25">
      <c r="A10" s="12" t="s">
        <v>69</v>
      </c>
      <c r="B10" s="12" t="s">
        <v>70</v>
      </c>
      <c r="C10" s="13" t="s">
        <v>71</v>
      </c>
      <c r="D10" s="12" t="s">
        <v>77</v>
      </c>
      <c r="E10" s="12" t="s">
        <v>73</v>
      </c>
      <c r="F10" s="12" t="s">
        <v>74</v>
      </c>
      <c r="G10" s="12"/>
      <c r="H10" s="12" t="s">
        <v>75</v>
      </c>
      <c r="I10" s="12" t="s">
        <v>76</v>
      </c>
      <c r="J10" s="12"/>
      <c r="K10" s="12"/>
    </row>
    <row r="11" spans="1:11" ht="60" customHeight="1" x14ac:dyDescent="0.25">
      <c r="A11" s="12" t="s">
        <v>69</v>
      </c>
      <c r="B11" s="12" t="s">
        <v>70</v>
      </c>
      <c r="C11" s="14" t="s">
        <v>78</v>
      </c>
      <c r="D11" s="12" t="s">
        <v>79</v>
      </c>
      <c r="E11" s="12" t="s">
        <v>73</v>
      </c>
      <c r="F11" s="12" t="s">
        <v>74</v>
      </c>
      <c r="G11" s="12"/>
      <c r="H11" s="12" t="s">
        <v>75</v>
      </c>
      <c r="I11" s="12" t="s">
        <v>76</v>
      </c>
      <c r="J11" s="12"/>
      <c r="K11" s="12"/>
    </row>
    <row r="12" spans="1:11" ht="60" customHeight="1" x14ac:dyDescent="0.25">
      <c r="A12" s="12" t="s">
        <v>69</v>
      </c>
      <c r="B12" s="12" t="s">
        <v>70</v>
      </c>
      <c r="C12" s="14" t="s">
        <v>78</v>
      </c>
      <c r="D12" s="12" t="s">
        <v>80</v>
      </c>
      <c r="E12" s="12" t="s">
        <v>73</v>
      </c>
      <c r="F12" s="12" t="s">
        <v>74</v>
      </c>
      <c r="G12" s="12"/>
      <c r="H12" s="12" t="s">
        <v>75</v>
      </c>
      <c r="I12" s="12" t="s">
        <v>76</v>
      </c>
      <c r="J12" s="12"/>
      <c r="K12" s="12"/>
    </row>
    <row r="13" spans="1:11" x14ac:dyDescent="0.25">
      <c r="A13" s="15" t="s">
        <v>81</v>
      </c>
      <c r="B13" s="29" t="s">
        <v>82</v>
      </c>
      <c r="C13" s="24"/>
      <c r="D13" s="24"/>
      <c r="E13" s="24"/>
      <c r="F13" s="24"/>
      <c r="G13" s="24"/>
      <c r="H13" s="24"/>
      <c r="I13" s="24"/>
      <c r="J13" s="24"/>
      <c r="K13" s="24"/>
    </row>
    <row r="14" spans="1:11" ht="60" customHeight="1" x14ac:dyDescent="0.25">
      <c r="A14" s="12" t="s">
        <v>81</v>
      </c>
      <c r="B14" s="12" t="s">
        <v>82</v>
      </c>
      <c r="C14" s="13" t="s">
        <v>71</v>
      </c>
      <c r="D14" s="12" t="s">
        <v>83</v>
      </c>
      <c r="E14" s="12" t="s">
        <v>84</v>
      </c>
      <c r="F14" s="12" t="s">
        <v>74</v>
      </c>
      <c r="G14" s="12"/>
      <c r="H14" s="12" t="s">
        <v>75</v>
      </c>
      <c r="I14" s="12" t="s">
        <v>76</v>
      </c>
      <c r="J14" s="12"/>
      <c r="K14" s="12"/>
    </row>
    <row r="15" spans="1:11" ht="60" customHeight="1" x14ac:dyDescent="0.25">
      <c r="A15" s="12" t="s">
        <v>81</v>
      </c>
      <c r="B15" s="12" t="s">
        <v>82</v>
      </c>
      <c r="C15" s="13" t="s">
        <v>71</v>
      </c>
      <c r="D15" s="12" t="s">
        <v>85</v>
      </c>
      <c r="E15" s="12" t="s">
        <v>84</v>
      </c>
      <c r="F15" s="12" t="s">
        <v>74</v>
      </c>
      <c r="G15" s="12"/>
      <c r="H15" s="12" t="s">
        <v>75</v>
      </c>
      <c r="I15" s="12" t="s">
        <v>76</v>
      </c>
      <c r="J15" s="12"/>
      <c r="K15" s="12"/>
    </row>
    <row r="16" spans="1:11" ht="60" customHeight="1" x14ac:dyDescent="0.25">
      <c r="A16" s="12" t="s">
        <v>81</v>
      </c>
      <c r="B16" s="12" t="s">
        <v>82</v>
      </c>
      <c r="C16" s="14" t="s">
        <v>78</v>
      </c>
      <c r="D16" s="12" t="s">
        <v>86</v>
      </c>
      <c r="E16" s="12" t="s">
        <v>84</v>
      </c>
      <c r="F16" s="12" t="s">
        <v>74</v>
      </c>
      <c r="G16" s="12"/>
      <c r="H16" s="12" t="s">
        <v>75</v>
      </c>
      <c r="I16" s="12" t="s">
        <v>76</v>
      </c>
      <c r="J16" s="12"/>
      <c r="K16" s="12"/>
    </row>
    <row r="17" spans="1:11" x14ac:dyDescent="0.25">
      <c r="A17" s="15" t="s">
        <v>87</v>
      </c>
      <c r="B17" s="29" t="s">
        <v>88</v>
      </c>
      <c r="C17" s="24"/>
      <c r="D17" s="24"/>
      <c r="E17" s="24"/>
      <c r="F17" s="24"/>
      <c r="G17" s="24"/>
      <c r="H17" s="24"/>
      <c r="I17" s="24"/>
      <c r="J17" s="24"/>
      <c r="K17" s="24"/>
    </row>
    <row r="18" spans="1:11" ht="60" customHeight="1" x14ac:dyDescent="0.25">
      <c r="A18" s="12" t="s">
        <v>87</v>
      </c>
      <c r="B18" s="12" t="s">
        <v>88</v>
      </c>
      <c r="C18" s="13" t="s">
        <v>71</v>
      </c>
      <c r="D18" s="12" t="s">
        <v>89</v>
      </c>
      <c r="E18" s="12" t="s">
        <v>90</v>
      </c>
      <c r="F18" s="12" t="s">
        <v>74</v>
      </c>
      <c r="G18" s="12"/>
      <c r="H18" s="12" t="s">
        <v>75</v>
      </c>
      <c r="I18" s="12" t="s">
        <v>76</v>
      </c>
      <c r="J18" s="12"/>
      <c r="K18" s="12"/>
    </row>
    <row r="19" spans="1:11" ht="60" customHeight="1" x14ac:dyDescent="0.25">
      <c r="A19" s="12" t="s">
        <v>87</v>
      </c>
      <c r="B19" s="12" t="s">
        <v>88</v>
      </c>
      <c r="C19" s="14" t="s">
        <v>78</v>
      </c>
      <c r="D19" s="12" t="s">
        <v>91</v>
      </c>
      <c r="E19" s="12" t="s">
        <v>90</v>
      </c>
      <c r="F19" s="12" t="s">
        <v>74</v>
      </c>
      <c r="G19" s="12"/>
      <c r="H19" s="12" t="s">
        <v>75</v>
      </c>
      <c r="I19" s="12" t="s">
        <v>76</v>
      </c>
      <c r="J19" s="12"/>
      <c r="K19" s="12"/>
    </row>
    <row r="20" spans="1:11" x14ac:dyDescent="0.25">
      <c r="A20" s="15" t="s">
        <v>92</v>
      </c>
      <c r="B20" s="29" t="s">
        <v>93</v>
      </c>
      <c r="C20" s="24"/>
      <c r="D20" s="24"/>
      <c r="E20" s="24"/>
      <c r="F20" s="24"/>
      <c r="G20" s="24"/>
      <c r="H20" s="24"/>
      <c r="I20" s="24"/>
      <c r="J20" s="24"/>
      <c r="K20" s="24"/>
    </row>
    <row r="21" spans="1:11" ht="60" customHeight="1" x14ac:dyDescent="0.25">
      <c r="A21" s="12" t="s">
        <v>92</v>
      </c>
      <c r="B21" s="12" t="s">
        <v>93</v>
      </c>
      <c r="C21" s="13" t="s">
        <v>71</v>
      </c>
      <c r="D21" s="12" t="s">
        <v>94</v>
      </c>
      <c r="E21" s="12" t="s">
        <v>95</v>
      </c>
      <c r="F21" s="12" t="s">
        <v>74</v>
      </c>
      <c r="G21" s="12"/>
      <c r="H21" s="12" t="s">
        <v>75</v>
      </c>
      <c r="I21" s="12" t="s">
        <v>76</v>
      </c>
      <c r="J21" s="12"/>
      <c r="K21" s="12"/>
    </row>
    <row r="22" spans="1:11" ht="60" customHeight="1" x14ac:dyDescent="0.25">
      <c r="A22" s="12" t="s">
        <v>92</v>
      </c>
      <c r="B22" s="12" t="s">
        <v>93</v>
      </c>
      <c r="C22" s="13" t="s">
        <v>71</v>
      </c>
      <c r="D22" s="12" t="s">
        <v>96</v>
      </c>
      <c r="E22" s="12" t="s">
        <v>95</v>
      </c>
      <c r="F22" s="12" t="s">
        <v>74</v>
      </c>
      <c r="G22" s="12"/>
      <c r="H22" s="12" t="s">
        <v>75</v>
      </c>
      <c r="I22" s="12" t="s">
        <v>76</v>
      </c>
      <c r="J22" s="12"/>
      <c r="K22" s="12"/>
    </row>
    <row r="23" spans="1:11" ht="60" customHeight="1" x14ac:dyDescent="0.25">
      <c r="A23" s="12" t="s">
        <v>92</v>
      </c>
      <c r="B23" s="12" t="s">
        <v>93</v>
      </c>
      <c r="C23" s="14" t="s">
        <v>78</v>
      </c>
      <c r="D23" s="12" t="s">
        <v>97</v>
      </c>
      <c r="E23" s="12" t="s">
        <v>95</v>
      </c>
      <c r="F23" s="12" t="s">
        <v>74</v>
      </c>
      <c r="G23" s="12"/>
      <c r="H23" s="12" t="s">
        <v>75</v>
      </c>
      <c r="I23" s="12" t="s">
        <v>76</v>
      </c>
      <c r="J23" s="12"/>
      <c r="K23" s="12"/>
    </row>
    <row r="24" spans="1:11" x14ac:dyDescent="0.25">
      <c r="A24" s="15" t="s">
        <v>98</v>
      </c>
      <c r="B24" s="29" t="s">
        <v>99</v>
      </c>
      <c r="C24" s="24"/>
      <c r="D24" s="24"/>
      <c r="E24" s="24"/>
      <c r="F24" s="24"/>
      <c r="G24" s="24"/>
      <c r="H24" s="24"/>
      <c r="I24" s="24"/>
      <c r="J24" s="24"/>
      <c r="K24" s="24"/>
    </row>
    <row r="25" spans="1:11" ht="60" customHeight="1" x14ac:dyDescent="0.25">
      <c r="A25" s="12" t="s">
        <v>98</v>
      </c>
      <c r="B25" s="12" t="s">
        <v>99</v>
      </c>
      <c r="C25" s="13" t="s">
        <v>71</v>
      </c>
      <c r="D25" s="12" t="s">
        <v>100</v>
      </c>
      <c r="E25" s="12" t="s">
        <v>101</v>
      </c>
      <c r="F25" s="12" t="s">
        <v>74</v>
      </c>
      <c r="G25" s="12"/>
      <c r="H25" s="12" t="s">
        <v>75</v>
      </c>
      <c r="I25" s="12" t="s">
        <v>76</v>
      </c>
      <c r="J25" s="12"/>
      <c r="K25" s="12"/>
    </row>
    <row r="26" spans="1:11" ht="60" customHeight="1" x14ac:dyDescent="0.25">
      <c r="A26" s="12" t="s">
        <v>98</v>
      </c>
      <c r="B26" s="12" t="s">
        <v>99</v>
      </c>
      <c r="C26" s="14" t="s">
        <v>78</v>
      </c>
      <c r="D26" s="12" t="s">
        <v>102</v>
      </c>
      <c r="E26" s="12" t="s">
        <v>101</v>
      </c>
      <c r="F26" s="12" t="s">
        <v>74</v>
      </c>
      <c r="G26" s="12"/>
      <c r="H26" s="12" t="s">
        <v>75</v>
      </c>
      <c r="I26" s="12" t="s">
        <v>76</v>
      </c>
      <c r="J26" s="12"/>
      <c r="K26" s="12"/>
    </row>
    <row r="27" spans="1:11" ht="60" customHeight="1" x14ac:dyDescent="0.25">
      <c r="A27" s="12" t="s">
        <v>98</v>
      </c>
      <c r="B27" s="12" t="s">
        <v>99</v>
      </c>
      <c r="C27" s="14" t="s">
        <v>78</v>
      </c>
      <c r="D27" s="12" t="s">
        <v>103</v>
      </c>
      <c r="E27" s="12" t="s">
        <v>101</v>
      </c>
      <c r="F27" s="12" t="s">
        <v>74</v>
      </c>
      <c r="G27" s="12"/>
      <c r="H27" s="12" t="s">
        <v>75</v>
      </c>
      <c r="I27" s="12" t="s">
        <v>76</v>
      </c>
      <c r="J27" s="12"/>
      <c r="K27" s="12"/>
    </row>
    <row r="28" spans="1:11" x14ac:dyDescent="0.25">
      <c r="A28" s="15" t="s">
        <v>104</v>
      </c>
      <c r="B28" s="29" t="s">
        <v>105</v>
      </c>
      <c r="C28" s="24"/>
      <c r="D28" s="24"/>
      <c r="E28" s="24"/>
      <c r="F28" s="24"/>
      <c r="G28" s="24"/>
      <c r="H28" s="24"/>
      <c r="I28" s="24"/>
      <c r="J28" s="24"/>
      <c r="K28" s="24"/>
    </row>
    <row r="29" spans="1:11" ht="60" customHeight="1" x14ac:dyDescent="0.25">
      <c r="A29" s="12" t="s">
        <v>104</v>
      </c>
      <c r="B29" s="12" t="s">
        <v>105</v>
      </c>
      <c r="C29" s="13" t="s">
        <v>71</v>
      </c>
      <c r="D29" s="12" t="s">
        <v>106</v>
      </c>
      <c r="E29" s="12" t="s">
        <v>107</v>
      </c>
      <c r="F29" s="12" t="s">
        <v>74</v>
      </c>
      <c r="G29" s="12"/>
      <c r="H29" s="12" t="s">
        <v>75</v>
      </c>
      <c r="I29" s="12" t="s">
        <v>76</v>
      </c>
      <c r="J29" s="12"/>
      <c r="K29" s="12"/>
    </row>
    <row r="30" spans="1:11" ht="60" customHeight="1" x14ac:dyDescent="0.25">
      <c r="A30" s="12" t="s">
        <v>104</v>
      </c>
      <c r="B30" s="12" t="s">
        <v>105</v>
      </c>
      <c r="C30" s="14" t="s">
        <v>78</v>
      </c>
      <c r="D30" s="12" t="s">
        <v>108</v>
      </c>
      <c r="E30" s="12" t="s">
        <v>107</v>
      </c>
      <c r="F30" s="12" t="s">
        <v>74</v>
      </c>
      <c r="G30" s="12"/>
      <c r="H30" s="12" t="s">
        <v>75</v>
      </c>
      <c r="I30" s="12" t="s">
        <v>76</v>
      </c>
      <c r="J30" s="12"/>
      <c r="K30" s="12"/>
    </row>
    <row r="31" spans="1:11" x14ac:dyDescent="0.25">
      <c r="A31" s="15" t="s">
        <v>109</v>
      </c>
      <c r="B31" s="29" t="s">
        <v>110</v>
      </c>
      <c r="C31" s="24"/>
      <c r="D31" s="24"/>
      <c r="E31" s="24"/>
      <c r="F31" s="24"/>
      <c r="G31" s="24"/>
      <c r="H31" s="24"/>
      <c r="I31" s="24"/>
      <c r="J31" s="24"/>
      <c r="K31" s="24"/>
    </row>
    <row r="32" spans="1:11" ht="60" customHeight="1" x14ac:dyDescent="0.25">
      <c r="A32" s="12" t="s">
        <v>109</v>
      </c>
      <c r="B32" s="12" t="s">
        <v>110</v>
      </c>
      <c r="C32" s="13" t="s">
        <v>71</v>
      </c>
      <c r="D32" s="12" t="s">
        <v>111</v>
      </c>
      <c r="E32" s="12" t="s">
        <v>112</v>
      </c>
      <c r="F32" s="12" t="s">
        <v>74</v>
      </c>
      <c r="G32" s="12"/>
      <c r="H32" s="12" t="s">
        <v>75</v>
      </c>
      <c r="I32" s="12" t="s">
        <v>76</v>
      </c>
      <c r="J32" s="12"/>
      <c r="K32" s="12"/>
    </row>
    <row r="33" spans="1:11" ht="60" customHeight="1" x14ac:dyDescent="0.25">
      <c r="A33" s="12" t="s">
        <v>109</v>
      </c>
      <c r="B33" s="12" t="s">
        <v>110</v>
      </c>
      <c r="C33" s="14" t="s">
        <v>78</v>
      </c>
      <c r="D33" s="12" t="s">
        <v>113</v>
      </c>
      <c r="E33" s="12" t="s">
        <v>112</v>
      </c>
      <c r="F33" s="12" t="s">
        <v>74</v>
      </c>
      <c r="G33" s="12"/>
      <c r="H33" s="12" t="s">
        <v>75</v>
      </c>
      <c r="I33" s="12" t="s">
        <v>76</v>
      </c>
      <c r="J33" s="12"/>
      <c r="K33" s="12"/>
    </row>
    <row r="34" spans="1:11" x14ac:dyDescent="0.25">
      <c r="A34" s="15" t="s">
        <v>114</v>
      </c>
      <c r="B34" s="29" t="s">
        <v>115</v>
      </c>
      <c r="C34" s="24"/>
      <c r="D34" s="24"/>
      <c r="E34" s="24"/>
      <c r="F34" s="24"/>
      <c r="G34" s="24"/>
      <c r="H34" s="24"/>
      <c r="I34" s="24"/>
      <c r="J34" s="24"/>
      <c r="K34" s="24"/>
    </row>
    <row r="35" spans="1:11" ht="60" customHeight="1" x14ac:dyDescent="0.25">
      <c r="A35" s="12" t="s">
        <v>114</v>
      </c>
      <c r="B35" s="12" t="s">
        <v>115</v>
      </c>
      <c r="C35" s="13" t="s">
        <v>71</v>
      </c>
      <c r="D35" s="12" t="s">
        <v>116</v>
      </c>
      <c r="E35" s="12" t="s">
        <v>117</v>
      </c>
      <c r="F35" s="12" t="s">
        <v>74</v>
      </c>
      <c r="G35" s="12"/>
      <c r="H35" s="12" t="s">
        <v>75</v>
      </c>
      <c r="I35" s="12" t="s">
        <v>76</v>
      </c>
      <c r="J35" s="12"/>
      <c r="K35" s="12"/>
    </row>
    <row r="36" spans="1:11" ht="60" customHeight="1" x14ac:dyDescent="0.25">
      <c r="A36" s="12" t="s">
        <v>114</v>
      </c>
      <c r="B36" s="12" t="s">
        <v>115</v>
      </c>
      <c r="C36" s="13" t="s">
        <v>71</v>
      </c>
      <c r="D36" s="12" t="s">
        <v>118</v>
      </c>
      <c r="E36" s="12" t="s">
        <v>117</v>
      </c>
      <c r="F36" s="12" t="s">
        <v>74</v>
      </c>
      <c r="G36" s="12"/>
      <c r="H36" s="12" t="s">
        <v>75</v>
      </c>
      <c r="I36" s="12" t="s">
        <v>76</v>
      </c>
      <c r="J36" s="12"/>
      <c r="K36" s="12"/>
    </row>
    <row r="37" spans="1:11" ht="60" customHeight="1" x14ac:dyDescent="0.25">
      <c r="A37" s="12" t="s">
        <v>114</v>
      </c>
      <c r="B37" s="12" t="s">
        <v>115</v>
      </c>
      <c r="C37" s="14" t="s">
        <v>78</v>
      </c>
      <c r="D37" s="12" t="s">
        <v>119</v>
      </c>
      <c r="E37" s="12" t="s">
        <v>117</v>
      </c>
      <c r="F37" s="12" t="s">
        <v>74</v>
      </c>
      <c r="G37" s="12"/>
      <c r="H37" s="12" t="s">
        <v>75</v>
      </c>
      <c r="I37" s="12" t="s">
        <v>76</v>
      </c>
      <c r="J37" s="12"/>
      <c r="K37" s="12"/>
    </row>
    <row r="38" spans="1:11" x14ac:dyDescent="0.25">
      <c r="A38" s="15" t="s">
        <v>120</v>
      </c>
      <c r="B38" s="29" t="s">
        <v>121</v>
      </c>
      <c r="C38" s="24"/>
      <c r="D38" s="24"/>
      <c r="E38" s="24"/>
      <c r="F38" s="24"/>
      <c r="G38" s="24"/>
      <c r="H38" s="24"/>
      <c r="I38" s="24"/>
      <c r="J38" s="24"/>
      <c r="K38" s="24"/>
    </row>
    <row r="39" spans="1:11" ht="60" customHeight="1" x14ac:dyDescent="0.25">
      <c r="A39" s="12" t="s">
        <v>120</v>
      </c>
      <c r="B39" s="12" t="s">
        <v>121</v>
      </c>
      <c r="C39" s="13" t="s">
        <v>71</v>
      </c>
      <c r="D39" s="12" t="s">
        <v>122</v>
      </c>
      <c r="E39" s="12" t="s">
        <v>123</v>
      </c>
      <c r="F39" s="12" t="s">
        <v>74</v>
      </c>
      <c r="G39" s="12"/>
      <c r="H39" s="12" t="s">
        <v>75</v>
      </c>
      <c r="I39" s="12" t="s">
        <v>76</v>
      </c>
      <c r="J39" s="12"/>
      <c r="K39" s="12"/>
    </row>
    <row r="40" spans="1:11" ht="60" customHeight="1" x14ac:dyDescent="0.25">
      <c r="A40" s="12" t="s">
        <v>120</v>
      </c>
      <c r="B40" s="12" t="s">
        <v>121</v>
      </c>
      <c r="C40" s="13" t="s">
        <v>71</v>
      </c>
      <c r="D40" s="12" t="s">
        <v>124</v>
      </c>
      <c r="E40" s="12" t="s">
        <v>123</v>
      </c>
      <c r="F40" s="12" t="s">
        <v>74</v>
      </c>
      <c r="G40" s="12"/>
      <c r="H40" s="12" t="s">
        <v>75</v>
      </c>
      <c r="I40" s="12" t="s">
        <v>76</v>
      </c>
      <c r="J40" s="12"/>
      <c r="K40" s="12"/>
    </row>
    <row r="41" spans="1:11" ht="60" customHeight="1" x14ac:dyDescent="0.25">
      <c r="A41" s="12" t="s">
        <v>120</v>
      </c>
      <c r="B41" s="12" t="s">
        <v>121</v>
      </c>
      <c r="C41" s="14" t="s">
        <v>78</v>
      </c>
      <c r="D41" s="12" t="s">
        <v>125</v>
      </c>
      <c r="E41" s="12" t="s">
        <v>123</v>
      </c>
      <c r="F41" s="12" t="s">
        <v>74</v>
      </c>
      <c r="G41" s="12"/>
      <c r="H41" s="12" t="s">
        <v>75</v>
      </c>
      <c r="I41" s="12" t="s">
        <v>76</v>
      </c>
      <c r="J41" s="12"/>
      <c r="K41" s="12"/>
    </row>
    <row r="42" spans="1:11" x14ac:dyDescent="0.25">
      <c r="A42" s="15" t="s">
        <v>126</v>
      </c>
      <c r="B42" s="29" t="s">
        <v>127</v>
      </c>
      <c r="C42" s="24"/>
      <c r="D42" s="24"/>
      <c r="E42" s="24"/>
      <c r="F42" s="24"/>
      <c r="G42" s="24"/>
      <c r="H42" s="24"/>
      <c r="I42" s="24"/>
      <c r="J42" s="24"/>
      <c r="K42" s="24"/>
    </row>
    <row r="43" spans="1:11" ht="60" customHeight="1" x14ac:dyDescent="0.25">
      <c r="A43" s="12" t="s">
        <v>126</v>
      </c>
      <c r="B43" s="12" t="s">
        <v>127</v>
      </c>
      <c r="C43" s="13" t="s">
        <v>71</v>
      </c>
      <c r="D43" s="12" t="s">
        <v>128</v>
      </c>
      <c r="E43" s="12" t="s">
        <v>129</v>
      </c>
      <c r="F43" s="12" t="s">
        <v>74</v>
      </c>
      <c r="G43" s="12"/>
      <c r="H43" s="12" t="s">
        <v>75</v>
      </c>
      <c r="I43" s="12" t="s">
        <v>76</v>
      </c>
      <c r="J43" s="12"/>
      <c r="K43" s="12"/>
    </row>
    <row r="44" spans="1:11" ht="60" customHeight="1" x14ac:dyDescent="0.25">
      <c r="A44" s="12" t="s">
        <v>126</v>
      </c>
      <c r="B44" s="12" t="s">
        <v>127</v>
      </c>
      <c r="C44" s="14" t="s">
        <v>78</v>
      </c>
      <c r="D44" s="12" t="s">
        <v>130</v>
      </c>
      <c r="E44" s="12" t="s">
        <v>129</v>
      </c>
      <c r="F44" s="12" t="s">
        <v>74</v>
      </c>
      <c r="G44" s="12"/>
      <c r="H44" s="12" t="s">
        <v>75</v>
      </c>
      <c r="I44" s="12" t="s">
        <v>76</v>
      </c>
      <c r="J44" s="12"/>
      <c r="K44" s="12"/>
    </row>
    <row r="45" spans="1:11" x14ac:dyDescent="0.25">
      <c r="A45" s="15" t="s">
        <v>131</v>
      </c>
      <c r="B45" s="29" t="s">
        <v>132</v>
      </c>
      <c r="C45" s="24"/>
      <c r="D45" s="24"/>
      <c r="E45" s="24"/>
      <c r="F45" s="24"/>
      <c r="G45" s="24"/>
      <c r="H45" s="24"/>
      <c r="I45" s="24"/>
      <c r="J45" s="24"/>
      <c r="K45" s="24"/>
    </row>
    <row r="46" spans="1:11" ht="60" customHeight="1" x14ac:dyDescent="0.25">
      <c r="A46" s="12" t="s">
        <v>131</v>
      </c>
      <c r="B46" s="12" t="s">
        <v>132</v>
      </c>
      <c r="C46" s="13" t="s">
        <v>71</v>
      </c>
      <c r="D46" s="12" t="s">
        <v>133</v>
      </c>
      <c r="E46" s="12" t="s">
        <v>134</v>
      </c>
      <c r="F46" s="12" t="s">
        <v>74</v>
      </c>
      <c r="G46" s="12"/>
      <c r="H46" s="12" t="s">
        <v>75</v>
      </c>
      <c r="I46" s="12" t="s">
        <v>76</v>
      </c>
      <c r="J46" s="12"/>
      <c r="K46" s="12"/>
    </row>
    <row r="47" spans="1:11" ht="60" customHeight="1" x14ac:dyDescent="0.25">
      <c r="A47" s="12" t="s">
        <v>131</v>
      </c>
      <c r="B47" s="12" t="s">
        <v>132</v>
      </c>
      <c r="C47" s="14" t="s">
        <v>78</v>
      </c>
      <c r="D47" s="12" t="s">
        <v>135</v>
      </c>
      <c r="E47" s="12" t="s">
        <v>134</v>
      </c>
      <c r="F47" s="12" t="s">
        <v>74</v>
      </c>
      <c r="G47" s="12"/>
      <c r="H47" s="12" t="s">
        <v>75</v>
      </c>
      <c r="I47" s="12" t="s">
        <v>76</v>
      </c>
      <c r="J47" s="12"/>
      <c r="K47" s="12"/>
    </row>
    <row r="48" spans="1:11" x14ac:dyDescent="0.25">
      <c r="A48" s="15" t="s">
        <v>136</v>
      </c>
      <c r="B48" s="29" t="s">
        <v>137</v>
      </c>
      <c r="C48" s="24"/>
      <c r="D48" s="24"/>
      <c r="E48" s="24"/>
      <c r="F48" s="24"/>
      <c r="G48" s="24"/>
      <c r="H48" s="24"/>
      <c r="I48" s="24"/>
      <c r="J48" s="24"/>
      <c r="K48" s="24"/>
    </row>
    <row r="49" spans="1:11" ht="60" customHeight="1" x14ac:dyDescent="0.25">
      <c r="A49" s="12" t="s">
        <v>136</v>
      </c>
      <c r="B49" s="12" t="s">
        <v>137</v>
      </c>
      <c r="C49" s="13" t="s">
        <v>71</v>
      </c>
      <c r="D49" s="12" t="s">
        <v>138</v>
      </c>
      <c r="E49" s="12" t="s">
        <v>139</v>
      </c>
      <c r="F49" s="12" t="s">
        <v>74</v>
      </c>
      <c r="G49" s="12"/>
      <c r="H49" s="12" t="s">
        <v>75</v>
      </c>
      <c r="I49" s="12" t="s">
        <v>76</v>
      </c>
      <c r="J49" s="12"/>
      <c r="K49" s="12"/>
    </row>
    <row r="50" spans="1:11" ht="60" customHeight="1" x14ac:dyDescent="0.25">
      <c r="A50" s="12" t="s">
        <v>136</v>
      </c>
      <c r="B50" s="12" t="s">
        <v>137</v>
      </c>
      <c r="C50" s="14" t="s">
        <v>78</v>
      </c>
      <c r="D50" s="12" t="s">
        <v>140</v>
      </c>
      <c r="E50" s="12" t="s">
        <v>139</v>
      </c>
      <c r="F50" s="12" t="s">
        <v>74</v>
      </c>
      <c r="G50" s="12"/>
      <c r="H50" s="12" t="s">
        <v>75</v>
      </c>
      <c r="I50" s="12" t="s">
        <v>76</v>
      </c>
      <c r="J50" s="12"/>
      <c r="K50" s="12"/>
    </row>
    <row r="51" spans="1:11" x14ac:dyDescent="0.25">
      <c r="A51" s="15" t="s">
        <v>141</v>
      </c>
      <c r="B51" s="29" t="s">
        <v>142</v>
      </c>
      <c r="C51" s="24"/>
      <c r="D51" s="24"/>
      <c r="E51" s="24"/>
      <c r="F51" s="24"/>
      <c r="G51" s="24"/>
      <c r="H51" s="24"/>
      <c r="I51" s="24"/>
      <c r="J51" s="24"/>
      <c r="K51" s="24"/>
    </row>
    <row r="52" spans="1:11" ht="60" customHeight="1" x14ac:dyDescent="0.25">
      <c r="A52" s="12" t="s">
        <v>141</v>
      </c>
      <c r="B52" s="12" t="s">
        <v>142</v>
      </c>
      <c r="C52" s="13" t="s">
        <v>71</v>
      </c>
      <c r="D52" s="12" t="s">
        <v>143</v>
      </c>
      <c r="E52" s="12" t="s">
        <v>144</v>
      </c>
      <c r="F52" s="12" t="s">
        <v>74</v>
      </c>
      <c r="G52" s="12"/>
      <c r="H52" s="12" t="s">
        <v>75</v>
      </c>
      <c r="I52" s="12" t="s">
        <v>76</v>
      </c>
      <c r="J52" s="12"/>
      <c r="K52" s="12"/>
    </row>
    <row r="53" spans="1:11" ht="60" customHeight="1" x14ac:dyDescent="0.25">
      <c r="A53" s="12" t="s">
        <v>141</v>
      </c>
      <c r="B53" s="12" t="s">
        <v>142</v>
      </c>
      <c r="C53" s="14" t="s">
        <v>78</v>
      </c>
      <c r="D53" s="12" t="s">
        <v>145</v>
      </c>
      <c r="E53" s="12" t="s">
        <v>144</v>
      </c>
      <c r="F53" s="12" t="s">
        <v>74</v>
      </c>
      <c r="G53" s="12"/>
      <c r="H53" s="12" t="s">
        <v>75</v>
      </c>
      <c r="I53" s="12" t="s">
        <v>76</v>
      </c>
      <c r="J53" s="12"/>
      <c r="K53" s="12"/>
    </row>
    <row r="54" spans="1:11" x14ac:dyDescent="0.25">
      <c r="A54" s="15" t="s">
        <v>146</v>
      </c>
      <c r="B54" s="29" t="s">
        <v>147</v>
      </c>
      <c r="C54" s="24"/>
      <c r="D54" s="24"/>
      <c r="E54" s="24"/>
      <c r="F54" s="24"/>
      <c r="G54" s="24"/>
      <c r="H54" s="24"/>
      <c r="I54" s="24"/>
      <c r="J54" s="24"/>
      <c r="K54" s="24"/>
    </row>
    <row r="55" spans="1:11" ht="60" customHeight="1" x14ac:dyDescent="0.25">
      <c r="A55" s="12" t="s">
        <v>146</v>
      </c>
      <c r="B55" s="12" t="s">
        <v>147</v>
      </c>
      <c r="C55" s="13" t="s">
        <v>71</v>
      </c>
      <c r="D55" s="12" t="s">
        <v>148</v>
      </c>
      <c r="E55" s="12" t="s">
        <v>149</v>
      </c>
      <c r="F55" s="12" t="s">
        <v>74</v>
      </c>
      <c r="G55" s="12"/>
      <c r="H55" s="12" t="s">
        <v>75</v>
      </c>
      <c r="I55" s="12" t="s">
        <v>76</v>
      </c>
      <c r="J55" s="12"/>
      <c r="K55" s="12"/>
    </row>
    <row r="56" spans="1:11" ht="60" customHeight="1" x14ac:dyDescent="0.25">
      <c r="A56" s="12" t="s">
        <v>146</v>
      </c>
      <c r="B56" s="12" t="s">
        <v>147</v>
      </c>
      <c r="C56" s="14" t="s">
        <v>78</v>
      </c>
      <c r="D56" s="12" t="s">
        <v>150</v>
      </c>
      <c r="E56" s="12" t="s">
        <v>149</v>
      </c>
      <c r="F56" s="12" t="s">
        <v>74</v>
      </c>
      <c r="G56" s="12"/>
      <c r="H56" s="12" t="s">
        <v>75</v>
      </c>
      <c r="I56" s="12" t="s">
        <v>76</v>
      </c>
      <c r="J56" s="12"/>
      <c r="K56" s="12"/>
    </row>
  </sheetData>
  <mergeCells count="16">
    <mergeCell ref="A1:K1"/>
    <mergeCell ref="B51:K51"/>
    <mergeCell ref="A2:K2"/>
    <mergeCell ref="B24:K24"/>
    <mergeCell ref="B28:K28"/>
    <mergeCell ref="B20:K20"/>
    <mergeCell ref="B38:K38"/>
    <mergeCell ref="B31:K31"/>
    <mergeCell ref="B45:K45"/>
    <mergeCell ref="B54:K54"/>
    <mergeCell ref="B8:K8"/>
    <mergeCell ref="B34:K34"/>
    <mergeCell ref="B17:K17"/>
    <mergeCell ref="B48:K48"/>
    <mergeCell ref="B13:K13"/>
    <mergeCell ref="B42:K42"/>
  </mergeCells>
  <dataValidations count="2">
    <dataValidation type="list" allowBlank="1" sqref="H8:H56" xr:uid="{00000000-0002-0000-0100-000000000000}">
      <formula1>"Pending,Conformant,Minor NC,Major NC,OFI,N/A"</formula1>
    </dataValidation>
    <dataValidation type="list" allowBlank="1" sqref="I8:I56" xr:uid="{00000000-0002-0000-01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zoomScale="110" zoomScaleNormal="110" workbookViewId="0">
      <pane ySplit="7" topLeftCell="A8" activePane="bottomLeft" state="frozen"/>
      <selection sqref="A1:K1"/>
      <selection pane="bottomLeft" sqref="A1:K1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55" customWidth="1"/>
    <col min="5" max="7" width="38" customWidth="1"/>
    <col min="8" max="9" width="14" customWidth="1"/>
    <col min="10" max="11" width="16" customWidth="1"/>
  </cols>
  <sheetData>
    <row r="1" spans="1:11" ht="18" x14ac:dyDescent="0.25">
      <c r="A1" s="23" t="s">
        <v>151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25">
      <c r="A2" s="25" t="s">
        <v>152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18" customHeight="1" x14ac:dyDescent="0.25">
      <c r="A4" s="18" t="s">
        <v>49</v>
      </c>
      <c r="B4" s="16"/>
      <c r="C4" s="18" t="s">
        <v>50</v>
      </c>
      <c r="D4" s="16"/>
      <c r="E4" s="16"/>
      <c r="F4" s="18" t="s">
        <v>51</v>
      </c>
      <c r="G4" s="16"/>
      <c r="H4" s="16"/>
      <c r="I4" s="18" t="s">
        <v>52</v>
      </c>
      <c r="J4" s="16"/>
      <c r="K4" s="18" t="s">
        <v>53</v>
      </c>
    </row>
    <row r="5" spans="1:11" ht="18" customHeight="1" x14ac:dyDescent="0.25">
      <c r="A5" s="18" t="s">
        <v>54</v>
      </c>
      <c r="B5" s="16"/>
      <c r="C5" s="18" t="s">
        <v>55</v>
      </c>
      <c r="D5" s="16" t="s">
        <v>56</v>
      </c>
      <c r="E5" s="16"/>
      <c r="F5" s="18" t="s">
        <v>57</v>
      </c>
      <c r="G5" s="16"/>
      <c r="H5" s="16"/>
      <c r="I5" s="16"/>
      <c r="J5" s="16"/>
      <c r="K5" s="19">
        <f>IFERROR(COUNTIF(H8:H56,"Conformant")/(COUNTA(H8:H56)-COUNTIF(H8:H56,"Pending")-COUNTIF(H8:H56,"N/A")),0)</f>
        <v>0</v>
      </c>
    </row>
    <row r="6" spans="1:1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27.95" customHeight="1" x14ac:dyDescent="0.25">
      <c r="A7" s="17" t="s">
        <v>58</v>
      </c>
      <c r="B7" s="17" t="s">
        <v>59</v>
      </c>
      <c r="C7" s="17" t="s">
        <v>60</v>
      </c>
      <c r="D7" s="17" t="s">
        <v>61</v>
      </c>
      <c r="E7" s="17" t="s">
        <v>62</v>
      </c>
      <c r="F7" s="17" t="s">
        <v>63</v>
      </c>
      <c r="G7" s="17" t="s">
        <v>64</v>
      </c>
      <c r="H7" s="17" t="s">
        <v>65</v>
      </c>
      <c r="I7" s="17" t="s">
        <v>66</v>
      </c>
      <c r="J7" s="17" t="s">
        <v>67</v>
      </c>
      <c r="K7" s="17" t="s">
        <v>68</v>
      </c>
    </row>
    <row r="8" spans="1:11" x14ac:dyDescent="0.25">
      <c r="A8" s="8" t="s">
        <v>92</v>
      </c>
      <c r="B8" s="20" t="s">
        <v>93</v>
      </c>
      <c r="C8" s="21"/>
      <c r="D8" s="21"/>
      <c r="E8" s="21"/>
      <c r="F8" s="21"/>
      <c r="G8" s="21"/>
      <c r="H8" s="21"/>
      <c r="I8" s="21"/>
      <c r="J8" s="21"/>
      <c r="K8" s="22"/>
    </row>
    <row r="9" spans="1:11" ht="60" customHeight="1" x14ac:dyDescent="0.25">
      <c r="A9" s="4" t="s">
        <v>92</v>
      </c>
      <c r="B9" s="4" t="s">
        <v>93</v>
      </c>
      <c r="C9" s="9" t="s">
        <v>71</v>
      </c>
      <c r="D9" s="4" t="s">
        <v>94</v>
      </c>
      <c r="E9" s="4" t="s">
        <v>153</v>
      </c>
      <c r="F9" s="4" t="s">
        <v>74</v>
      </c>
      <c r="G9" s="4"/>
      <c r="H9" s="4" t="s">
        <v>75</v>
      </c>
      <c r="I9" s="4" t="s">
        <v>76</v>
      </c>
      <c r="J9" s="4"/>
      <c r="K9" s="4"/>
    </row>
    <row r="10" spans="1:11" ht="60" customHeight="1" x14ac:dyDescent="0.25">
      <c r="A10" s="4" t="s">
        <v>92</v>
      </c>
      <c r="B10" s="4" t="s">
        <v>93</v>
      </c>
      <c r="C10" s="9" t="s">
        <v>71</v>
      </c>
      <c r="D10" s="4" t="s">
        <v>96</v>
      </c>
      <c r="E10" s="4" t="s">
        <v>153</v>
      </c>
      <c r="F10" s="4" t="s">
        <v>74</v>
      </c>
      <c r="G10" s="4"/>
      <c r="H10" s="4" t="s">
        <v>75</v>
      </c>
      <c r="I10" s="4" t="s">
        <v>76</v>
      </c>
      <c r="J10" s="4"/>
      <c r="K10" s="4"/>
    </row>
    <row r="11" spans="1:11" ht="60" customHeight="1" x14ac:dyDescent="0.25">
      <c r="A11" s="4" t="s">
        <v>92</v>
      </c>
      <c r="B11" s="4" t="s">
        <v>93</v>
      </c>
      <c r="C11" s="10" t="s">
        <v>78</v>
      </c>
      <c r="D11" s="4" t="s">
        <v>154</v>
      </c>
      <c r="E11" s="4" t="s">
        <v>153</v>
      </c>
      <c r="F11" s="4" t="s">
        <v>74</v>
      </c>
      <c r="G11" s="4"/>
      <c r="H11" s="4" t="s">
        <v>75</v>
      </c>
      <c r="I11" s="4" t="s">
        <v>76</v>
      </c>
      <c r="J11" s="4"/>
      <c r="K11" s="4"/>
    </row>
    <row r="12" spans="1:11" x14ac:dyDescent="0.25">
      <c r="A12" s="8" t="s">
        <v>109</v>
      </c>
      <c r="B12" s="20" t="s">
        <v>110</v>
      </c>
      <c r="C12" s="21"/>
      <c r="D12" s="21"/>
      <c r="E12" s="21"/>
      <c r="F12" s="21"/>
      <c r="G12" s="21"/>
      <c r="H12" s="21"/>
      <c r="I12" s="21"/>
      <c r="J12" s="21"/>
      <c r="K12" s="22"/>
    </row>
    <row r="13" spans="1:11" ht="60" customHeight="1" x14ac:dyDescent="0.25">
      <c r="A13" s="4" t="s">
        <v>109</v>
      </c>
      <c r="B13" s="4" t="s">
        <v>110</v>
      </c>
      <c r="C13" s="9" t="s">
        <v>71</v>
      </c>
      <c r="D13" s="4" t="s">
        <v>111</v>
      </c>
      <c r="E13" s="4" t="s">
        <v>155</v>
      </c>
      <c r="F13" s="4" t="s">
        <v>74</v>
      </c>
      <c r="G13" s="4"/>
      <c r="H13" s="4" t="s">
        <v>75</v>
      </c>
      <c r="I13" s="4" t="s">
        <v>76</v>
      </c>
      <c r="J13" s="4"/>
      <c r="K13" s="4"/>
    </row>
    <row r="14" spans="1:11" ht="60" customHeight="1" x14ac:dyDescent="0.25">
      <c r="A14" s="4" t="s">
        <v>109</v>
      </c>
      <c r="B14" s="4" t="s">
        <v>110</v>
      </c>
      <c r="C14" s="10" t="s">
        <v>78</v>
      </c>
      <c r="D14" s="4" t="s">
        <v>156</v>
      </c>
      <c r="E14" s="4" t="s">
        <v>155</v>
      </c>
      <c r="F14" s="4" t="s">
        <v>74</v>
      </c>
      <c r="G14" s="4"/>
      <c r="H14" s="4" t="s">
        <v>75</v>
      </c>
      <c r="I14" s="4" t="s">
        <v>76</v>
      </c>
      <c r="J14" s="4"/>
      <c r="K14" s="4"/>
    </row>
    <row r="15" spans="1:11" x14ac:dyDescent="0.25">
      <c r="A15" s="8" t="s">
        <v>114</v>
      </c>
      <c r="B15" s="20" t="s">
        <v>115</v>
      </c>
      <c r="C15" s="21"/>
      <c r="D15" s="21"/>
      <c r="E15" s="21"/>
      <c r="F15" s="21"/>
      <c r="G15" s="21"/>
      <c r="H15" s="21"/>
      <c r="I15" s="21"/>
      <c r="J15" s="21"/>
      <c r="K15" s="22"/>
    </row>
    <row r="16" spans="1:11" ht="60" customHeight="1" x14ac:dyDescent="0.25">
      <c r="A16" s="4" t="s">
        <v>114</v>
      </c>
      <c r="B16" s="4" t="s">
        <v>115</v>
      </c>
      <c r="C16" s="9" t="s">
        <v>71</v>
      </c>
      <c r="D16" s="4" t="s">
        <v>116</v>
      </c>
      <c r="E16" s="4" t="s">
        <v>157</v>
      </c>
      <c r="F16" s="4" t="s">
        <v>74</v>
      </c>
      <c r="G16" s="4"/>
      <c r="H16" s="4" t="s">
        <v>75</v>
      </c>
      <c r="I16" s="4" t="s">
        <v>76</v>
      </c>
      <c r="J16" s="4"/>
      <c r="K16" s="4"/>
    </row>
    <row r="17" spans="1:11" ht="60" customHeight="1" x14ac:dyDescent="0.25">
      <c r="A17" s="4" t="s">
        <v>114</v>
      </c>
      <c r="B17" s="4" t="s">
        <v>115</v>
      </c>
      <c r="C17" s="9" t="s">
        <v>71</v>
      </c>
      <c r="D17" s="4" t="s">
        <v>118</v>
      </c>
      <c r="E17" s="4" t="s">
        <v>157</v>
      </c>
      <c r="F17" s="4" t="s">
        <v>74</v>
      </c>
      <c r="G17" s="4"/>
      <c r="H17" s="4" t="s">
        <v>75</v>
      </c>
      <c r="I17" s="4" t="s">
        <v>76</v>
      </c>
      <c r="J17" s="4"/>
      <c r="K17" s="4"/>
    </row>
    <row r="18" spans="1:11" ht="60" customHeight="1" x14ac:dyDescent="0.25">
      <c r="A18" s="4" t="s">
        <v>114</v>
      </c>
      <c r="B18" s="4" t="s">
        <v>115</v>
      </c>
      <c r="C18" s="10" t="s">
        <v>78</v>
      </c>
      <c r="D18" s="4" t="s">
        <v>158</v>
      </c>
      <c r="E18" s="4" t="s">
        <v>157</v>
      </c>
      <c r="F18" s="4" t="s">
        <v>74</v>
      </c>
      <c r="G18" s="4"/>
      <c r="H18" s="4" t="s">
        <v>75</v>
      </c>
      <c r="I18" s="4" t="s">
        <v>76</v>
      </c>
      <c r="J18" s="4"/>
      <c r="K18" s="4"/>
    </row>
    <row r="19" spans="1:11" x14ac:dyDescent="0.25">
      <c r="A19" s="8" t="s">
        <v>120</v>
      </c>
      <c r="B19" s="20" t="s">
        <v>121</v>
      </c>
      <c r="C19" s="21"/>
      <c r="D19" s="21"/>
      <c r="E19" s="21"/>
      <c r="F19" s="21"/>
      <c r="G19" s="21"/>
      <c r="H19" s="21"/>
      <c r="I19" s="21"/>
      <c r="J19" s="21"/>
      <c r="K19" s="22"/>
    </row>
    <row r="20" spans="1:11" ht="60" customHeight="1" x14ac:dyDescent="0.25">
      <c r="A20" s="4" t="s">
        <v>120</v>
      </c>
      <c r="B20" s="4" t="s">
        <v>121</v>
      </c>
      <c r="C20" s="9" t="s">
        <v>71</v>
      </c>
      <c r="D20" s="4" t="s">
        <v>122</v>
      </c>
      <c r="E20" s="4" t="s">
        <v>159</v>
      </c>
      <c r="F20" s="4" t="s">
        <v>74</v>
      </c>
      <c r="G20" s="4"/>
      <c r="H20" s="4" t="s">
        <v>75</v>
      </c>
      <c r="I20" s="4" t="s">
        <v>76</v>
      </c>
      <c r="J20" s="4"/>
      <c r="K20" s="4"/>
    </row>
    <row r="21" spans="1:11" ht="60" customHeight="1" x14ac:dyDescent="0.25">
      <c r="A21" s="4" t="s">
        <v>120</v>
      </c>
      <c r="B21" s="4" t="s">
        <v>121</v>
      </c>
      <c r="C21" s="9" t="s">
        <v>71</v>
      </c>
      <c r="D21" s="4" t="s">
        <v>124</v>
      </c>
      <c r="E21" s="4" t="s">
        <v>159</v>
      </c>
      <c r="F21" s="4" t="s">
        <v>74</v>
      </c>
      <c r="G21" s="4"/>
      <c r="H21" s="4" t="s">
        <v>75</v>
      </c>
      <c r="I21" s="4" t="s">
        <v>76</v>
      </c>
      <c r="J21" s="4"/>
      <c r="K21" s="4"/>
    </row>
    <row r="22" spans="1:11" ht="60" customHeight="1" x14ac:dyDescent="0.25">
      <c r="A22" s="4" t="s">
        <v>120</v>
      </c>
      <c r="B22" s="4" t="s">
        <v>121</v>
      </c>
      <c r="C22" s="10" t="s">
        <v>78</v>
      </c>
      <c r="D22" s="4" t="s">
        <v>160</v>
      </c>
      <c r="E22" s="4" t="s">
        <v>159</v>
      </c>
      <c r="F22" s="4" t="s">
        <v>74</v>
      </c>
      <c r="G22" s="4"/>
      <c r="H22" s="4" t="s">
        <v>75</v>
      </c>
      <c r="I22" s="4" t="s">
        <v>76</v>
      </c>
      <c r="J22" s="4"/>
      <c r="K22" s="4"/>
    </row>
    <row r="23" spans="1:11" x14ac:dyDescent="0.25">
      <c r="A23" s="8" t="s">
        <v>131</v>
      </c>
      <c r="B23" s="20" t="s">
        <v>132</v>
      </c>
      <c r="C23" s="21"/>
      <c r="D23" s="21"/>
      <c r="E23" s="21"/>
      <c r="F23" s="21"/>
      <c r="G23" s="21"/>
      <c r="H23" s="21"/>
      <c r="I23" s="21"/>
      <c r="J23" s="21"/>
      <c r="K23" s="22"/>
    </row>
    <row r="24" spans="1:11" ht="60" customHeight="1" x14ac:dyDescent="0.25">
      <c r="A24" s="4" t="s">
        <v>131</v>
      </c>
      <c r="B24" s="4" t="s">
        <v>132</v>
      </c>
      <c r="C24" s="9" t="s">
        <v>71</v>
      </c>
      <c r="D24" s="4" t="s">
        <v>133</v>
      </c>
      <c r="E24" s="4" t="s">
        <v>161</v>
      </c>
      <c r="F24" s="4" t="s">
        <v>74</v>
      </c>
      <c r="G24" s="4"/>
      <c r="H24" s="4" t="s">
        <v>75</v>
      </c>
      <c r="I24" s="4" t="s">
        <v>76</v>
      </c>
      <c r="J24" s="4"/>
      <c r="K24" s="4"/>
    </row>
    <row r="25" spans="1:11" ht="60" customHeight="1" x14ac:dyDescent="0.25">
      <c r="A25" s="4" t="s">
        <v>131</v>
      </c>
      <c r="B25" s="4" t="s">
        <v>132</v>
      </c>
      <c r="C25" s="10" t="s">
        <v>78</v>
      </c>
      <c r="D25" s="4" t="s">
        <v>162</v>
      </c>
      <c r="E25" s="4" t="s">
        <v>161</v>
      </c>
      <c r="F25" s="4" t="s">
        <v>74</v>
      </c>
      <c r="G25" s="4"/>
      <c r="H25" s="4" t="s">
        <v>75</v>
      </c>
      <c r="I25" s="4" t="s">
        <v>76</v>
      </c>
      <c r="J25" s="4"/>
      <c r="K25" s="4"/>
    </row>
    <row r="26" spans="1:11" ht="60" customHeight="1" x14ac:dyDescent="0.25">
      <c r="A26" s="4" t="s">
        <v>131</v>
      </c>
      <c r="B26" s="4" t="s">
        <v>132</v>
      </c>
      <c r="C26" s="10" t="s">
        <v>78</v>
      </c>
      <c r="D26" s="4" t="s">
        <v>163</v>
      </c>
      <c r="E26" s="4" t="s">
        <v>161</v>
      </c>
      <c r="F26" s="4" t="s">
        <v>74</v>
      </c>
      <c r="G26" s="4"/>
      <c r="H26" s="4" t="s">
        <v>75</v>
      </c>
      <c r="I26" s="4" t="s">
        <v>76</v>
      </c>
      <c r="J26" s="4"/>
      <c r="K26" s="4"/>
    </row>
    <row r="27" spans="1:11" x14ac:dyDescent="0.25">
      <c r="A27" s="8" t="s">
        <v>164</v>
      </c>
      <c r="B27" s="20" t="s">
        <v>165</v>
      </c>
      <c r="C27" s="21"/>
      <c r="D27" s="21"/>
      <c r="E27" s="21"/>
      <c r="F27" s="21"/>
      <c r="G27" s="21"/>
      <c r="H27" s="21"/>
      <c r="I27" s="21"/>
      <c r="J27" s="21"/>
      <c r="K27" s="22"/>
    </row>
    <row r="28" spans="1:11" ht="60" customHeight="1" x14ac:dyDescent="0.25">
      <c r="A28" s="4" t="s">
        <v>164</v>
      </c>
      <c r="B28" s="4" t="s">
        <v>165</v>
      </c>
      <c r="C28" s="9" t="s">
        <v>71</v>
      </c>
      <c r="D28" s="4" t="s">
        <v>166</v>
      </c>
      <c r="E28" s="4" t="s">
        <v>167</v>
      </c>
      <c r="F28" s="4" t="s">
        <v>74</v>
      </c>
      <c r="G28" s="4"/>
      <c r="H28" s="4" t="s">
        <v>75</v>
      </c>
      <c r="I28" s="4" t="s">
        <v>76</v>
      </c>
      <c r="J28" s="4"/>
      <c r="K28" s="4"/>
    </row>
    <row r="29" spans="1:11" ht="60" customHeight="1" x14ac:dyDescent="0.25">
      <c r="A29" s="4" t="s">
        <v>164</v>
      </c>
      <c r="B29" s="4" t="s">
        <v>165</v>
      </c>
      <c r="C29" s="10" t="s">
        <v>78</v>
      </c>
      <c r="D29" s="4" t="s">
        <v>168</v>
      </c>
      <c r="E29" s="4" t="s">
        <v>167</v>
      </c>
      <c r="F29" s="4" t="s">
        <v>74</v>
      </c>
      <c r="G29" s="4"/>
      <c r="H29" s="4" t="s">
        <v>75</v>
      </c>
      <c r="I29" s="4" t="s">
        <v>76</v>
      </c>
      <c r="J29" s="4"/>
      <c r="K29" s="4"/>
    </row>
    <row r="30" spans="1:11" x14ac:dyDescent="0.25">
      <c r="A30" s="8" t="s">
        <v>169</v>
      </c>
      <c r="B30" s="20" t="s">
        <v>170</v>
      </c>
      <c r="C30" s="21"/>
      <c r="D30" s="21"/>
      <c r="E30" s="21"/>
      <c r="F30" s="21"/>
      <c r="G30" s="21"/>
      <c r="H30" s="21"/>
      <c r="I30" s="21"/>
      <c r="J30" s="21"/>
      <c r="K30" s="22"/>
    </row>
    <row r="31" spans="1:11" ht="60" customHeight="1" x14ac:dyDescent="0.25">
      <c r="A31" s="4" t="s">
        <v>169</v>
      </c>
      <c r="B31" s="4" t="s">
        <v>170</v>
      </c>
      <c r="C31" s="9" t="s">
        <v>71</v>
      </c>
      <c r="D31" s="4" t="s">
        <v>171</v>
      </c>
      <c r="E31" s="4" t="s">
        <v>172</v>
      </c>
      <c r="F31" s="4" t="s">
        <v>74</v>
      </c>
      <c r="G31" s="4"/>
      <c r="H31" s="4" t="s">
        <v>75</v>
      </c>
      <c r="I31" s="4" t="s">
        <v>76</v>
      </c>
      <c r="J31" s="4"/>
      <c r="K31" s="4"/>
    </row>
    <row r="32" spans="1:11" ht="60" customHeight="1" x14ac:dyDescent="0.25">
      <c r="A32" s="4" t="s">
        <v>169</v>
      </c>
      <c r="B32" s="4" t="s">
        <v>170</v>
      </c>
      <c r="C32" s="9" t="s">
        <v>71</v>
      </c>
      <c r="D32" s="4" t="s">
        <v>173</v>
      </c>
      <c r="E32" s="4" t="s">
        <v>172</v>
      </c>
      <c r="F32" s="4" t="s">
        <v>74</v>
      </c>
      <c r="G32" s="4"/>
      <c r="H32" s="4" t="s">
        <v>75</v>
      </c>
      <c r="I32" s="4" t="s">
        <v>76</v>
      </c>
      <c r="J32" s="4"/>
      <c r="K32" s="4"/>
    </row>
    <row r="33" spans="1:11" ht="60" customHeight="1" x14ac:dyDescent="0.25">
      <c r="A33" s="4" t="s">
        <v>169</v>
      </c>
      <c r="B33" s="4" t="s">
        <v>170</v>
      </c>
      <c r="C33" s="10" t="s">
        <v>78</v>
      </c>
      <c r="D33" s="4" t="s">
        <v>174</v>
      </c>
      <c r="E33" s="4" t="s">
        <v>172</v>
      </c>
      <c r="F33" s="4" t="s">
        <v>74</v>
      </c>
      <c r="G33" s="4"/>
      <c r="H33" s="4" t="s">
        <v>75</v>
      </c>
      <c r="I33" s="4" t="s">
        <v>76</v>
      </c>
      <c r="J33" s="4"/>
      <c r="K33" s="4"/>
    </row>
    <row r="34" spans="1:11" x14ac:dyDescent="0.25">
      <c r="A34" s="8" t="s">
        <v>175</v>
      </c>
      <c r="B34" s="20" t="s">
        <v>176</v>
      </c>
      <c r="C34" s="21"/>
      <c r="D34" s="21"/>
      <c r="E34" s="21"/>
      <c r="F34" s="21"/>
      <c r="G34" s="21"/>
      <c r="H34" s="21"/>
      <c r="I34" s="21"/>
      <c r="J34" s="21"/>
      <c r="K34" s="22"/>
    </row>
    <row r="35" spans="1:11" ht="60" customHeight="1" x14ac:dyDescent="0.25">
      <c r="A35" s="4" t="s">
        <v>175</v>
      </c>
      <c r="B35" s="4" t="s">
        <v>176</v>
      </c>
      <c r="C35" s="9" t="s">
        <v>71</v>
      </c>
      <c r="D35" s="4" t="s">
        <v>177</v>
      </c>
      <c r="E35" s="4" t="s">
        <v>178</v>
      </c>
      <c r="F35" s="4" t="s">
        <v>74</v>
      </c>
      <c r="G35" s="4"/>
      <c r="H35" s="4" t="s">
        <v>75</v>
      </c>
      <c r="I35" s="4" t="s">
        <v>76</v>
      </c>
      <c r="J35" s="4"/>
      <c r="K35" s="4"/>
    </row>
    <row r="36" spans="1:11" ht="60" customHeight="1" x14ac:dyDescent="0.25">
      <c r="A36" s="4" t="s">
        <v>175</v>
      </c>
      <c r="B36" s="4" t="s">
        <v>176</v>
      </c>
      <c r="C36" s="10" t="s">
        <v>78</v>
      </c>
      <c r="D36" s="4" t="s">
        <v>179</v>
      </c>
      <c r="E36" s="4" t="s">
        <v>178</v>
      </c>
      <c r="F36" s="4" t="s">
        <v>74</v>
      </c>
      <c r="G36" s="4"/>
      <c r="H36" s="4" t="s">
        <v>75</v>
      </c>
      <c r="I36" s="4" t="s">
        <v>76</v>
      </c>
      <c r="J36" s="4"/>
      <c r="K36" s="4"/>
    </row>
    <row r="37" spans="1:11" x14ac:dyDescent="0.25">
      <c r="A37" s="8" t="s">
        <v>180</v>
      </c>
      <c r="B37" s="20" t="s">
        <v>181</v>
      </c>
      <c r="C37" s="21"/>
      <c r="D37" s="21"/>
      <c r="E37" s="21"/>
      <c r="F37" s="21"/>
      <c r="G37" s="21"/>
      <c r="H37" s="21"/>
      <c r="I37" s="21"/>
      <c r="J37" s="21"/>
      <c r="K37" s="22"/>
    </row>
    <row r="38" spans="1:11" ht="60" customHeight="1" x14ac:dyDescent="0.25">
      <c r="A38" s="4" t="s">
        <v>180</v>
      </c>
      <c r="B38" s="4" t="s">
        <v>181</v>
      </c>
      <c r="C38" s="9" t="s">
        <v>71</v>
      </c>
      <c r="D38" s="4" t="s">
        <v>182</v>
      </c>
      <c r="E38" s="4" t="s">
        <v>183</v>
      </c>
      <c r="F38" s="4" t="s">
        <v>74</v>
      </c>
      <c r="G38" s="4"/>
      <c r="H38" s="4" t="s">
        <v>75</v>
      </c>
      <c r="I38" s="4" t="s">
        <v>76</v>
      </c>
      <c r="J38" s="4"/>
      <c r="K38" s="4"/>
    </row>
    <row r="39" spans="1:11" ht="60" customHeight="1" x14ac:dyDescent="0.25">
      <c r="A39" s="4" t="s">
        <v>180</v>
      </c>
      <c r="B39" s="4" t="s">
        <v>181</v>
      </c>
      <c r="C39" s="10" t="s">
        <v>78</v>
      </c>
      <c r="D39" s="4" t="s">
        <v>184</v>
      </c>
      <c r="E39" s="4" t="s">
        <v>183</v>
      </c>
      <c r="F39" s="4" t="s">
        <v>74</v>
      </c>
      <c r="G39" s="4"/>
      <c r="H39" s="4" t="s">
        <v>75</v>
      </c>
      <c r="I39" s="4" t="s">
        <v>76</v>
      </c>
      <c r="J39" s="4"/>
      <c r="K39" s="4"/>
    </row>
    <row r="40" spans="1:11" x14ac:dyDescent="0.25">
      <c r="A40" s="8" t="s">
        <v>185</v>
      </c>
      <c r="B40" s="20" t="s">
        <v>186</v>
      </c>
      <c r="C40" s="21"/>
      <c r="D40" s="21"/>
      <c r="E40" s="21"/>
      <c r="F40" s="21"/>
      <c r="G40" s="21"/>
      <c r="H40" s="21"/>
      <c r="I40" s="21"/>
      <c r="J40" s="21"/>
      <c r="K40" s="22"/>
    </row>
    <row r="41" spans="1:11" ht="60" customHeight="1" x14ac:dyDescent="0.25">
      <c r="A41" s="4" t="s">
        <v>185</v>
      </c>
      <c r="B41" s="4" t="s">
        <v>186</v>
      </c>
      <c r="C41" s="9" t="s">
        <v>71</v>
      </c>
      <c r="D41" s="4" t="s">
        <v>187</v>
      </c>
      <c r="E41" s="4" t="s">
        <v>188</v>
      </c>
      <c r="F41" s="4" t="s">
        <v>74</v>
      </c>
      <c r="G41" s="4"/>
      <c r="H41" s="4" t="s">
        <v>75</v>
      </c>
      <c r="I41" s="4" t="s">
        <v>76</v>
      </c>
      <c r="J41" s="4"/>
      <c r="K41" s="4"/>
    </row>
    <row r="42" spans="1:11" ht="60" customHeight="1" x14ac:dyDescent="0.25">
      <c r="A42" s="4" t="s">
        <v>185</v>
      </c>
      <c r="B42" s="4" t="s">
        <v>186</v>
      </c>
      <c r="C42" s="10" t="s">
        <v>78</v>
      </c>
      <c r="D42" s="4" t="s">
        <v>189</v>
      </c>
      <c r="E42" s="4" t="s">
        <v>188</v>
      </c>
      <c r="F42" s="4" t="s">
        <v>74</v>
      </c>
      <c r="G42" s="4"/>
      <c r="H42" s="4" t="s">
        <v>75</v>
      </c>
      <c r="I42" s="4" t="s">
        <v>76</v>
      </c>
      <c r="J42" s="4"/>
      <c r="K42" s="4"/>
    </row>
    <row r="43" spans="1:11" ht="60" customHeight="1" x14ac:dyDescent="0.25">
      <c r="A43" s="4" t="s">
        <v>185</v>
      </c>
      <c r="B43" s="4" t="s">
        <v>186</v>
      </c>
      <c r="C43" s="10" t="s">
        <v>78</v>
      </c>
      <c r="D43" s="4" t="s">
        <v>190</v>
      </c>
      <c r="E43" s="4" t="s">
        <v>188</v>
      </c>
      <c r="F43" s="4" t="s">
        <v>74</v>
      </c>
      <c r="G43" s="4"/>
      <c r="H43" s="4" t="s">
        <v>75</v>
      </c>
      <c r="I43" s="4" t="s">
        <v>76</v>
      </c>
      <c r="J43" s="4"/>
      <c r="K43" s="4"/>
    </row>
    <row r="44" spans="1:11" x14ac:dyDescent="0.25">
      <c r="A44" s="8" t="s">
        <v>191</v>
      </c>
      <c r="B44" s="20" t="s">
        <v>192</v>
      </c>
      <c r="C44" s="21"/>
      <c r="D44" s="21"/>
      <c r="E44" s="21"/>
      <c r="F44" s="21"/>
      <c r="G44" s="21"/>
      <c r="H44" s="21"/>
      <c r="I44" s="21"/>
      <c r="J44" s="21"/>
      <c r="K44" s="22"/>
    </row>
    <row r="45" spans="1:11" ht="60" customHeight="1" x14ac:dyDescent="0.25">
      <c r="A45" s="4" t="s">
        <v>191</v>
      </c>
      <c r="B45" s="4" t="s">
        <v>192</v>
      </c>
      <c r="C45" s="9" t="s">
        <v>71</v>
      </c>
      <c r="D45" s="4" t="s">
        <v>193</v>
      </c>
      <c r="E45" s="4" t="s">
        <v>194</v>
      </c>
      <c r="F45" s="4" t="s">
        <v>74</v>
      </c>
      <c r="G45" s="4"/>
      <c r="H45" s="4" t="s">
        <v>75</v>
      </c>
      <c r="I45" s="4" t="s">
        <v>76</v>
      </c>
      <c r="J45" s="4"/>
      <c r="K45" s="4"/>
    </row>
    <row r="46" spans="1:11" ht="60" customHeight="1" x14ac:dyDescent="0.25">
      <c r="A46" s="4" t="s">
        <v>191</v>
      </c>
      <c r="B46" s="4" t="s">
        <v>192</v>
      </c>
      <c r="C46" s="10" t="s">
        <v>78</v>
      </c>
      <c r="D46" s="4" t="s">
        <v>195</v>
      </c>
      <c r="E46" s="4" t="s">
        <v>194</v>
      </c>
      <c r="F46" s="4" t="s">
        <v>74</v>
      </c>
      <c r="G46" s="4"/>
      <c r="H46" s="4" t="s">
        <v>75</v>
      </c>
      <c r="I46" s="4" t="s">
        <v>76</v>
      </c>
      <c r="J46" s="4"/>
      <c r="K46" s="4"/>
    </row>
    <row r="47" spans="1:11" ht="60" customHeight="1" x14ac:dyDescent="0.25">
      <c r="A47" s="4" t="s">
        <v>191</v>
      </c>
      <c r="B47" s="4" t="s">
        <v>192</v>
      </c>
      <c r="C47" s="10" t="s">
        <v>78</v>
      </c>
      <c r="D47" s="4" t="s">
        <v>196</v>
      </c>
      <c r="E47" s="4" t="s">
        <v>194</v>
      </c>
      <c r="F47" s="4" t="s">
        <v>74</v>
      </c>
      <c r="G47" s="4"/>
      <c r="H47" s="4" t="s">
        <v>75</v>
      </c>
      <c r="I47" s="4" t="s">
        <v>76</v>
      </c>
      <c r="J47" s="4"/>
      <c r="K47" s="4"/>
    </row>
    <row r="48" spans="1:11" x14ac:dyDescent="0.25">
      <c r="A48" s="8" t="s">
        <v>197</v>
      </c>
      <c r="B48" s="20" t="s">
        <v>198</v>
      </c>
      <c r="C48" s="21"/>
      <c r="D48" s="21"/>
      <c r="E48" s="21"/>
      <c r="F48" s="21"/>
      <c r="G48" s="21"/>
      <c r="H48" s="21"/>
      <c r="I48" s="21"/>
      <c r="J48" s="21"/>
      <c r="K48" s="22"/>
    </row>
    <row r="49" spans="1:11" ht="60" customHeight="1" x14ac:dyDescent="0.25">
      <c r="A49" s="4" t="s">
        <v>197</v>
      </c>
      <c r="B49" s="4" t="s">
        <v>198</v>
      </c>
      <c r="C49" s="9" t="s">
        <v>71</v>
      </c>
      <c r="D49" s="4" t="s">
        <v>199</v>
      </c>
      <c r="E49" s="4" t="s">
        <v>200</v>
      </c>
      <c r="F49" s="4" t="s">
        <v>74</v>
      </c>
      <c r="G49" s="4"/>
      <c r="H49" s="4" t="s">
        <v>75</v>
      </c>
      <c r="I49" s="4" t="s">
        <v>76</v>
      </c>
      <c r="J49" s="4"/>
      <c r="K49" s="4"/>
    </row>
    <row r="50" spans="1:11" ht="60" customHeight="1" x14ac:dyDescent="0.25">
      <c r="A50" s="4" t="s">
        <v>197</v>
      </c>
      <c r="B50" s="4" t="s">
        <v>198</v>
      </c>
      <c r="C50" s="10" t="s">
        <v>78</v>
      </c>
      <c r="D50" s="4" t="s">
        <v>201</v>
      </c>
      <c r="E50" s="4" t="s">
        <v>200</v>
      </c>
      <c r="F50" s="4" t="s">
        <v>74</v>
      </c>
      <c r="G50" s="4"/>
      <c r="H50" s="4" t="s">
        <v>75</v>
      </c>
      <c r="I50" s="4" t="s">
        <v>76</v>
      </c>
      <c r="J50" s="4"/>
      <c r="K50" s="4"/>
    </row>
    <row r="51" spans="1:11" x14ac:dyDescent="0.25">
      <c r="A51" s="8" t="s">
        <v>202</v>
      </c>
      <c r="B51" s="20" t="s">
        <v>203</v>
      </c>
      <c r="C51" s="21"/>
      <c r="D51" s="21"/>
      <c r="E51" s="21"/>
      <c r="F51" s="21"/>
      <c r="G51" s="21"/>
      <c r="H51" s="21"/>
      <c r="I51" s="21"/>
      <c r="J51" s="21"/>
      <c r="K51" s="22"/>
    </row>
    <row r="52" spans="1:11" ht="60" customHeight="1" x14ac:dyDescent="0.25">
      <c r="A52" s="4" t="s">
        <v>202</v>
      </c>
      <c r="B52" s="4" t="s">
        <v>203</v>
      </c>
      <c r="C52" s="9" t="s">
        <v>71</v>
      </c>
      <c r="D52" s="4" t="s">
        <v>204</v>
      </c>
      <c r="E52" s="4" t="s">
        <v>205</v>
      </c>
      <c r="F52" s="4" t="s">
        <v>74</v>
      </c>
      <c r="G52" s="4"/>
      <c r="H52" s="4" t="s">
        <v>75</v>
      </c>
      <c r="I52" s="4" t="s">
        <v>76</v>
      </c>
      <c r="J52" s="4"/>
      <c r="K52" s="4"/>
    </row>
    <row r="53" spans="1:11" ht="60" customHeight="1" x14ac:dyDescent="0.25">
      <c r="A53" s="4" t="s">
        <v>202</v>
      </c>
      <c r="B53" s="4" t="s">
        <v>203</v>
      </c>
      <c r="C53" s="10" t="s">
        <v>78</v>
      </c>
      <c r="D53" s="4" t="s">
        <v>206</v>
      </c>
      <c r="E53" s="4" t="s">
        <v>205</v>
      </c>
      <c r="F53" s="4" t="s">
        <v>74</v>
      </c>
      <c r="G53" s="4"/>
      <c r="H53" s="4" t="s">
        <v>75</v>
      </c>
      <c r="I53" s="4" t="s">
        <v>76</v>
      </c>
      <c r="J53" s="4"/>
      <c r="K53" s="4"/>
    </row>
    <row r="54" spans="1:11" x14ac:dyDescent="0.25">
      <c r="A54" s="8" t="s">
        <v>207</v>
      </c>
      <c r="B54" s="20" t="s">
        <v>208</v>
      </c>
      <c r="C54" s="21"/>
      <c r="D54" s="21"/>
      <c r="E54" s="21"/>
      <c r="F54" s="21"/>
      <c r="G54" s="21"/>
      <c r="H54" s="21"/>
      <c r="I54" s="21"/>
      <c r="J54" s="21"/>
      <c r="K54" s="22"/>
    </row>
    <row r="55" spans="1:11" ht="60" customHeight="1" x14ac:dyDescent="0.25">
      <c r="A55" s="4" t="s">
        <v>207</v>
      </c>
      <c r="B55" s="4" t="s">
        <v>208</v>
      </c>
      <c r="C55" s="9" t="s">
        <v>71</v>
      </c>
      <c r="D55" s="4" t="s">
        <v>209</v>
      </c>
      <c r="E55" s="4" t="s">
        <v>210</v>
      </c>
      <c r="F55" s="4" t="s">
        <v>74</v>
      </c>
      <c r="G55" s="4"/>
      <c r="H55" s="4" t="s">
        <v>75</v>
      </c>
      <c r="I55" s="4" t="s">
        <v>76</v>
      </c>
      <c r="J55" s="4"/>
      <c r="K55" s="4"/>
    </row>
    <row r="56" spans="1:11" ht="60" customHeight="1" x14ac:dyDescent="0.25">
      <c r="A56" s="4" t="s">
        <v>207</v>
      </c>
      <c r="B56" s="4" t="s">
        <v>208</v>
      </c>
      <c r="C56" s="10" t="s">
        <v>78</v>
      </c>
      <c r="D56" s="4" t="s">
        <v>211</v>
      </c>
      <c r="E56" s="4" t="s">
        <v>210</v>
      </c>
      <c r="F56" s="4" t="s">
        <v>74</v>
      </c>
      <c r="G56" s="4"/>
      <c r="H56" s="4" t="s">
        <v>75</v>
      </c>
      <c r="I56" s="4" t="s">
        <v>76</v>
      </c>
      <c r="J56" s="4"/>
      <c r="K56" s="4"/>
    </row>
  </sheetData>
  <mergeCells count="16">
    <mergeCell ref="A1:K1"/>
    <mergeCell ref="B51:K51"/>
    <mergeCell ref="B19:K19"/>
    <mergeCell ref="B37:K37"/>
    <mergeCell ref="A2:K2"/>
    <mergeCell ref="B44:K44"/>
    <mergeCell ref="B12:K12"/>
    <mergeCell ref="B15:K15"/>
    <mergeCell ref="B48:K48"/>
    <mergeCell ref="B34:K34"/>
    <mergeCell ref="B23:K23"/>
    <mergeCell ref="B54:K54"/>
    <mergeCell ref="B8:K8"/>
    <mergeCell ref="B40:K40"/>
    <mergeCell ref="B27:K27"/>
    <mergeCell ref="B30:K30"/>
  </mergeCells>
  <dataValidations count="2">
    <dataValidation type="list" allowBlank="1" sqref="H8:H56" xr:uid="{00000000-0002-0000-0200-000000000000}">
      <formula1>"Pending,Conformant,Minor NC,Major NC,OFI,N/A"</formula1>
    </dataValidation>
    <dataValidation type="list" allowBlank="1" sqref="I8:I56" xr:uid="{00000000-0002-0000-02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"/>
  <sheetViews>
    <sheetView workbookViewId="0">
      <pane ySplit="7" topLeftCell="A8" activePane="bottomLeft" state="frozen"/>
      <selection sqref="A1:K1"/>
      <selection pane="bottomLeft" sqref="A1:K1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55" customWidth="1"/>
    <col min="5" max="7" width="38" customWidth="1"/>
    <col min="8" max="9" width="14" customWidth="1"/>
    <col min="10" max="11" width="16" customWidth="1"/>
  </cols>
  <sheetData>
    <row r="1" spans="1:11" ht="18" x14ac:dyDescent="0.25">
      <c r="A1" s="33" t="s">
        <v>212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8" t="s">
        <v>213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25">
      <c r="A4" s="6" t="s">
        <v>49</v>
      </c>
      <c r="C4" s="6" t="s">
        <v>50</v>
      </c>
      <c r="F4" s="6" t="s">
        <v>51</v>
      </c>
      <c r="I4" s="6" t="s">
        <v>52</v>
      </c>
      <c r="K4" s="6" t="s">
        <v>53</v>
      </c>
    </row>
    <row r="5" spans="1:11" ht="18" customHeight="1" x14ac:dyDescent="0.25">
      <c r="A5" s="6" t="s">
        <v>54</v>
      </c>
      <c r="C5" s="6" t="s">
        <v>55</v>
      </c>
      <c r="D5" t="s">
        <v>56</v>
      </c>
      <c r="F5" s="6" t="s">
        <v>57</v>
      </c>
      <c r="K5" s="7">
        <f>IFERROR(COUNTIF(H8:H50,"Conformant")/(COUNTA(H8:H50)-COUNTIF(H8:H50,"Pending")-COUNTIF(H8:H50,"N/A")),0)</f>
        <v>0</v>
      </c>
    </row>
    <row r="7" spans="1:11" ht="27.95" customHeight="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8" t="s">
        <v>87</v>
      </c>
      <c r="B8" s="20" t="s">
        <v>88</v>
      </c>
      <c r="C8" s="21"/>
      <c r="D8" s="21"/>
      <c r="E8" s="21"/>
      <c r="F8" s="21"/>
      <c r="G8" s="21"/>
      <c r="H8" s="21"/>
      <c r="I8" s="21"/>
      <c r="J8" s="21"/>
      <c r="K8" s="22"/>
    </row>
    <row r="9" spans="1:11" ht="60" customHeight="1" x14ac:dyDescent="0.25">
      <c r="A9" s="4" t="s">
        <v>87</v>
      </c>
      <c r="B9" s="4" t="s">
        <v>88</v>
      </c>
      <c r="C9" s="9" t="s">
        <v>71</v>
      </c>
      <c r="D9" s="4" t="s">
        <v>89</v>
      </c>
      <c r="E9" s="4" t="s">
        <v>214</v>
      </c>
      <c r="F9" s="4" t="s">
        <v>74</v>
      </c>
      <c r="G9" s="4"/>
      <c r="H9" s="4" t="s">
        <v>75</v>
      </c>
      <c r="I9" s="4" t="s">
        <v>76</v>
      </c>
      <c r="J9" s="4"/>
      <c r="K9" s="4"/>
    </row>
    <row r="10" spans="1:11" ht="60" customHeight="1" x14ac:dyDescent="0.25">
      <c r="A10" s="4" t="s">
        <v>87</v>
      </c>
      <c r="B10" s="4" t="s">
        <v>88</v>
      </c>
      <c r="C10" s="10" t="s">
        <v>78</v>
      </c>
      <c r="D10" s="4" t="s">
        <v>215</v>
      </c>
      <c r="E10" s="4" t="s">
        <v>214</v>
      </c>
      <c r="F10" s="4" t="s">
        <v>74</v>
      </c>
      <c r="G10" s="4"/>
      <c r="H10" s="4" t="s">
        <v>75</v>
      </c>
      <c r="I10" s="4" t="s">
        <v>76</v>
      </c>
      <c r="J10" s="4"/>
      <c r="K10" s="4"/>
    </row>
    <row r="11" spans="1:11" x14ac:dyDescent="0.25">
      <c r="A11" s="8" t="s">
        <v>92</v>
      </c>
      <c r="B11" s="20" t="s">
        <v>93</v>
      </c>
      <c r="C11" s="21"/>
      <c r="D11" s="21"/>
      <c r="E11" s="21"/>
      <c r="F11" s="21"/>
      <c r="G11" s="21"/>
      <c r="H11" s="21"/>
      <c r="I11" s="21"/>
      <c r="J11" s="21"/>
      <c r="K11" s="22"/>
    </row>
    <row r="12" spans="1:11" ht="60" customHeight="1" x14ac:dyDescent="0.25">
      <c r="A12" s="4" t="s">
        <v>92</v>
      </c>
      <c r="B12" s="4" t="s">
        <v>93</v>
      </c>
      <c r="C12" s="9" t="s">
        <v>71</v>
      </c>
      <c r="D12" s="4" t="s">
        <v>94</v>
      </c>
      <c r="E12" s="4" t="s">
        <v>216</v>
      </c>
      <c r="F12" s="4" t="s">
        <v>74</v>
      </c>
      <c r="G12" s="4"/>
      <c r="H12" s="4" t="s">
        <v>75</v>
      </c>
      <c r="I12" s="4" t="s">
        <v>76</v>
      </c>
      <c r="J12" s="4"/>
      <c r="K12" s="4"/>
    </row>
    <row r="13" spans="1:11" ht="60" customHeight="1" x14ac:dyDescent="0.25">
      <c r="A13" s="4" t="s">
        <v>92</v>
      </c>
      <c r="B13" s="4" t="s">
        <v>93</v>
      </c>
      <c r="C13" s="9" t="s">
        <v>71</v>
      </c>
      <c r="D13" s="4" t="s">
        <v>96</v>
      </c>
      <c r="E13" s="4" t="s">
        <v>216</v>
      </c>
      <c r="F13" s="4" t="s">
        <v>74</v>
      </c>
      <c r="G13" s="4"/>
      <c r="H13" s="4" t="s">
        <v>75</v>
      </c>
      <c r="I13" s="4" t="s">
        <v>76</v>
      </c>
      <c r="J13" s="4"/>
      <c r="K13" s="4"/>
    </row>
    <row r="14" spans="1:11" ht="60" customHeight="1" x14ac:dyDescent="0.25">
      <c r="A14" s="4" t="s">
        <v>92</v>
      </c>
      <c r="B14" s="4" t="s">
        <v>93</v>
      </c>
      <c r="C14" s="10" t="s">
        <v>78</v>
      </c>
      <c r="D14" s="4" t="s">
        <v>217</v>
      </c>
      <c r="E14" s="4" t="s">
        <v>216</v>
      </c>
      <c r="F14" s="4" t="s">
        <v>74</v>
      </c>
      <c r="G14" s="4"/>
      <c r="H14" s="4" t="s">
        <v>75</v>
      </c>
      <c r="I14" s="4" t="s">
        <v>76</v>
      </c>
      <c r="J14" s="4"/>
      <c r="K14" s="4"/>
    </row>
    <row r="15" spans="1:11" x14ac:dyDescent="0.25">
      <c r="A15" s="8" t="s">
        <v>104</v>
      </c>
      <c r="B15" s="20" t="s">
        <v>105</v>
      </c>
      <c r="C15" s="21"/>
      <c r="D15" s="21"/>
      <c r="E15" s="21"/>
      <c r="F15" s="21"/>
      <c r="G15" s="21"/>
      <c r="H15" s="21"/>
      <c r="I15" s="21"/>
      <c r="J15" s="21"/>
      <c r="K15" s="22"/>
    </row>
    <row r="16" spans="1:11" ht="60" customHeight="1" x14ac:dyDescent="0.25">
      <c r="A16" s="4" t="s">
        <v>104</v>
      </c>
      <c r="B16" s="4" t="s">
        <v>105</v>
      </c>
      <c r="C16" s="9" t="s">
        <v>71</v>
      </c>
      <c r="D16" s="4" t="s">
        <v>106</v>
      </c>
      <c r="E16" s="4" t="s">
        <v>218</v>
      </c>
      <c r="F16" s="4" t="s">
        <v>74</v>
      </c>
      <c r="G16" s="4"/>
      <c r="H16" s="4" t="s">
        <v>75</v>
      </c>
      <c r="I16" s="4" t="s">
        <v>76</v>
      </c>
      <c r="J16" s="4"/>
      <c r="K16" s="4"/>
    </row>
    <row r="17" spans="1:11" ht="60" customHeight="1" x14ac:dyDescent="0.25">
      <c r="A17" s="4" t="s">
        <v>104</v>
      </c>
      <c r="B17" s="4" t="s">
        <v>105</v>
      </c>
      <c r="C17" s="10" t="s">
        <v>78</v>
      </c>
      <c r="D17" s="4" t="s">
        <v>219</v>
      </c>
      <c r="E17" s="4" t="s">
        <v>218</v>
      </c>
      <c r="F17" s="4" t="s">
        <v>74</v>
      </c>
      <c r="G17" s="4"/>
      <c r="H17" s="4" t="s">
        <v>75</v>
      </c>
      <c r="I17" s="4" t="s">
        <v>76</v>
      </c>
      <c r="J17" s="4"/>
      <c r="K17" s="4"/>
    </row>
    <row r="18" spans="1:11" x14ac:dyDescent="0.25">
      <c r="A18" s="8" t="s">
        <v>114</v>
      </c>
      <c r="B18" s="20" t="s">
        <v>115</v>
      </c>
      <c r="C18" s="21"/>
      <c r="D18" s="21"/>
      <c r="E18" s="21"/>
      <c r="F18" s="21"/>
      <c r="G18" s="21"/>
      <c r="H18" s="21"/>
      <c r="I18" s="21"/>
      <c r="J18" s="21"/>
      <c r="K18" s="22"/>
    </row>
    <row r="19" spans="1:11" ht="60" customHeight="1" x14ac:dyDescent="0.25">
      <c r="A19" s="4" t="s">
        <v>114</v>
      </c>
      <c r="B19" s="4" t="s">
        <v>115</v>
      </c>
      <c r="C19" s="9" t="s">
        <v>71</v>
      </c>
      <c r="D19" s="4" t="s">
        <v>116</v>
      </c>
      <c r="E19" s="4" t="s">
        <v>220</v>
      </c>
      <c r="F19" s="4" t="s">
        <v>74</v>
      </c>
      <c r="G19" s="4"/>
      <c r="H19" s="4" t="s">
        <v>75</v>
      </c>
      <c r="I19" s="4" t="s">
        <v>76</v>
      </c>
      <c r="J19" s="4"/>
      <c r="K19" s="4"/>
    </row>
    <row r="20" spans="1:11" ht="60" customHeight="1" x14ac:dyDescent="0.25">
      <c r="A20" s="4" t="s">
        <v>114</v>
      </c>
      <c r="B20" s="4" t="s">
        <v>115</v>
      </c>
      <c r="C20" s="9" t="s">
        <v>71</v>
      </c>
      <c r="D20" s="4" t="s">
        <v>118</v>
      </c>
      <c r="E20" s="4" t="s">
        <v>220</v>
      </c>
      <c r="F20" s="4" t="s">
        <v>74</v>
      </c>
      <c r="G20" s="4"/>
      <c r="H20" s="4" t="s">
        <v>75</v>
      </c>
      <c r="I20" s="4" t="s">
        <v>76</v>
      </c>
      <c r="J20" s="4"/>
      <c r="K20" s="4"/>
    </row>
    <row r="21" spans="1:11" ht="60" customHeight="1" x14ac:dyDescent="0.25">
      <c r="A21" s="4" t="s">
        <v>114</v>
      </c>
      <c r="B21" s="4" t="s">
        <v>115</v>
      </c>
      <c r="C21" s="10" t="s">
        <v>78</v>
      </c>
      <c r="D21" s="4" t="s">
        <v>221</v>
      </c>
      <c r="E21" s="4" t="s">
        <v>220</v>
      </c>
      <c r="F21" s="4" t="s">
        <v>74</v>
      </c>
      <c r="G21" s="4"/>
      <c r="H21" s="4" t="s">
        <v>75</v>
      </c>
      <c r="I21" s="4" t="s">
        <v>76</v>
      </c>
      <c r="J21" s="4"/>
      <c r="K21" s="4"/>
    </row>
    <row r="22" spans="1:11" x14ac:dyDescent="0.25">
      <c r="A22" s="8" t="s">
        <v>120</v>
      </c>
      <c r="B22" s="20" t="s">
        <v>121</v>
      </c>
      <c r="C22" s="21"/>
      <c r="D22" s="21"/>
      <c r="E22" s="21"/>
      <c r="F22" s="21"/>
      <c r="G22" s="21"/>
      <c r="H22" s="21"/>
      <c r="I22" s="21"/>
      <c r="J22" s="21"/>
      <c r="K22" s="22"/>
    </row>
    <row r="23" spans="1:11" ht="60" customHeight="1" x14ac:dyDescent="0.25">
      <c r="A23" s="4" t="s">
        <v>120</v>
      </c>
      <c r="B23" s="4" t="s">
        <v>121</v>
      </c>
      <c r="C23" s="9" t="s">
        <v>71</v>
      </c>
      <c r="D23" s="4" t="s">
        <v>122</v>
      </c>
      <c r="E23" s="4" t="s">
        <v>222</v>
      </c>
      <c r="F23" s="4" t="s">
        <v>74</v>
      </c>
      <c r="G23" s="4"/>
      <c r="H23" s="4" t="s">
        <v>75</v>
      </c>
      <c r="I23" s="4" t="s">
        <v>76</v>
      </c>
      <c r="J23" s="4"/>
      <c r="K23" s="4"/>
    </row>
    <row r="24" spans="1:11" ht="60" customHeight="1" x14ac:dyDescent="0.25">
      <c r="A24" s="4" t="s">
        <v>120</v>
      </c>
      <c r="B24" s="4" t="s">
        <v>121</v>
      </c>
      <c r="C24" s="9" t="s">
        <v>71</v>
      </c>
      <c r="D24" s="4" t="s">
        <v>124</v>
      </c>
      <c r="E24" s="4" t="s">
        <v>222</v>
      </c>
      <c r="F24" s="4" t="s">
        <v>74</v>
      </c>
      <c r="G24" s="4"/>
      <c r="H24" s="4" t="s">
        <v>75</v>
      </c>
      <c r="I24" s="4" t="s">
        <v>76</v>
      </c>
      <c r="J24" s="4"/>
      <c r="K24" s="4"/>
    </row>
    <row r="25" spans="1:11" ht="60" customHeight="1" x14ac:dyDescent="0.25">
      <c r="A25" s="4" t="s">
        <v>120</v>
      </c>
      <c r="B25" s="4" t="s">
        <v>121</v>
      </c>
      <c r="C25" s="10" t="s">
        <v>78</v>
      </c>
      <c r="D25" s="4" t="s">
        <v>223</v>
      </c>
      <c r="E25" s="4" t="s">
        <v>222</v>
      </c>
      <c r="F25" s="4" t="s">
        <v>74</v>
      </c>
      <c r="G25" s="4"/>
      <c r="H25" s="4" t="s">
        <v>75</v>
      </c>
      <c r="I25" s="4" t="s">
        <v>76</v>
      </c>
      <c r="J25" s="4"/>
      <c r="K25" s="4"/>
    </row>
    <row r="26" spans="1:11" x14ac:dyDescent="0.25">
      <c r="A26" s="8" t="s">
        <v>169</v>
      </c>
      <c r="B26" s="20" t="s">
        <v>170</v>
      </c>
      <c r="C26" s="21"/>
      <c r="D26" s="21"/>
      <c r="E26" s="21"/>
      <c r="F26" s="21"/>
      <c r="G26" s="21"/>
      <c r="H26" s="21"/>
      <c r="I26" s="21"/>
      <c r="J26" s="21"/>
      <c r="K26" s="22"/>
    </row>
    <row r="27" spans="1:11" ht="60" customHeight="1" x14ac:dyDescent="0.25">
      <c r="A27" s="4" t="s">
        <v>169</v>
      </c>
      <c r="B27" s="4" t="s">
        <v>170</v>
      </c>
      <c r="C27" s="9" t="s">
        <v>71</v>
      </c>
      <c r="D27" s="4" t="s">
        <v>171</v>
      </c>
      <c r="E27" s="4" t="s">
        <v>224</v>
      </c>
      <c r="F27" s="4" t="s">
        <v>74</v>
      </c>
      <c r="G27" s="4"/>
      <c r="H27" s="4" t="s">
        <v>75</v>
      </c>
      <c r="I27" s="4" t="s">
        <v>76</v>
      </c>
      <c r="J27" s="4"/>
      <c r="K27" s="4"/>
    </row>
    <row r="28" spans="1:11" ht="60" customHeight="1" x14ac:dyDescent="0.25">
      <c r="A28" s="4" t="s">
        <v>169</v>
      </c>
      <c r="B28" s="4" t="s">
        <v>170</v>
      </c>
      <c r="C28" s="9" t="s">
        <v>71</v>
      </c>
      <c r="D28" s="4" t="s">
        <v>173</v>
      </c>
      <c r="E28" s="4" t="s">
        <v>224</v>
      </c>
      <c r="F28" s="4" t="s">
        <v>74</v>
      </c>
      <c r="G28" s="4"/>
      <c r="H28" s="4" t="s">
        <v>75</v>
      </c>
      <c r="I28" s="4" t="s">
        <v>76</v>
      </c>
      <c r="J28" s="4"/>
      <c r="K28" s="4"/>
    </row>
    <row r="29" spans="1:11" ht="60" customHeight="1" x14ac:dyDescent="0.25">
      <c r="A29" s="4" t="s">
        <v>169</v>
      </c>
      <c r="B29" s="4" t="s">
        <v>170</v>
      </c>
      <c r="C29" s="10" t="s">
        <v>78</v>
      </c>
      <c r="D29" s="4" t="s">
        <v>225</v>
      </c>
      <c r="E29" s="4" t="s">
        <v>224</v>
      </c>
      <c r="F29" s="4" t="s">
        <v>74</v>
      </c>
      <c r="G29" s="4"/>
      <c r="H29" s="4" t="s">
        <v>75</v>
      </c>
      <c r="I29" s="4" t="s">
        <v>76</v>
      </c>
      <c r="J29" s="4"/>
      <c r="K29" s="4"/>
    </row>
    <row r="30" spans="1:11" ht="60" customHeight="1" x14ac:dyDescent="0.25">
      <c r="A30" s="4" t="s">
        <v>169</v>
      </c>
      <c r="B30" s="4" t="s">
        <v>170</v>
      </c>
      <c r="C30" s="10" t="s">
        <v>78</v>
      </c>
      <c r="D30" s="4" t="s">
        <v>226</v>
      </c>
      <c r="E30" s="4" t="s">
        <v>224</v>
      </c>
      <c r="F30" s="4" t="s">
        <v>74</v>
      </c>
      <c r="G30" s="4"/>
      <c r="H30" s="4" t="s">
        <v>75</v>
      </c>
      <c r="I30" s="4" t="s">
        <v>76</v>
      </c>
      <c r="J30" s="4"/>
      <c r="K30" s="4"/>
    </row>
    <row r="31" spans="1:11" x14ac:dyDescent="0.25">
      <c r="A31" s="8" t="s">
        <v>202</v>
      </c>
      <c r="B31" s="20" t="s">
        <v>203</v>
      </c>
      <c r="C31" s="21"/>
      <c r="D31" s="21"/>
      <c r="E31" s="21"/>
      <c r="F31" s="21"/>
      <c r="G31" s="21"/>
      <c r="H31" s="21"/>
      <c r="I31" s="21"/>
      <c r="J31" s="21"/>
      <c r="K31" s="22"/>
    </row>
    <row r="32" spans="1:11" ht="60" customHeight="1" x14ac:dyDescent="0.25">
      <c r="A32" s="4" t="s">
        <v>202</v>
      </c>
      <c r="B32" s="4" t="s">
        <v>203</v>
      </c>
      <c r="C32" s="9" t="s">
        <v>71</v>
      </c>
      <c r="D32" s="4" t="s">
        <v>204</v>
      </c>
      <c r="E32" s="4" t="s">
        <v>227</v>
      </c>
      <c r="F32" s="4" t="s">
        <v>74</v>
      </c>
      <c r="G32" s="4"/>
      <c r="H32" s="4" t="s">
        <v>75</v>
      </c>
      <c r="I32" s="4" t="s">
        <v>76</v>
      </c>
      <c r="J32" s="4"/>
      <c r="K32" s="4"/>
    </row>
    <row r="33" spans="1:11" ht="60" customHeight="1" x14ac:dyDescent="0.25">
      <c r="A33" s="4" t="s">
        <v>202</v>
      </c>
      <c r="B33" s="4" t="s">
        <v>203</v>
      </c>
      <c r="C33" s="10" t="s">
        <v>78</v>
      </c>
      <c r="D33" s="4" t="s">
        <v>228</v>
      </c>
      <c r="E33" s="4" t="s">
        <v>227</v>
      </c>
      <c r="F33" s="4" t="s">
        <v>74</v>
      </c>
      <c r="G33" s="4"/>
      <c r="H33" s="4" t="s">
        <v>75</v>
      </c>
      <c r="I33" s="4" t="s">
        <v>76</v>
      </c>
      <c r="J33" s="4"/>
      <c r="K33" s="4"/>
    </row>
    <row r="34" spans="1:11" x14ac:dyDescent="0.25">
      <c r="A34" s="8" t="s">
        <v>229</v>
      </c>
      <c r="B34" s="20" t="s">
        <v>230</v>
      </c>
      <c r="C34" s="21"/>
      <c r="D34" s="21"/>
      <c r="E34" s="21"/>
      <c r="F34" s="21"/>
      <c r="G34" s="21"/>
      <c r="H34" s="21"/>
      <c r="I34" s="21"/>
      <c r="J34" s="21"/>
      <c r="K34" s="22"/>
    </row>
    <row r="35" spans="1:11" ht="60" customHeight="1" x14ac:dyDescent="0.25">
      <c r="A35" s="4" t="s">
        <v>229</v>
      </c>
      <c r="B35" s="4" t="s">
        <v>230</v>
      </c>
      <c r="C35" s="9" t="s">
        <v>71</v>
      </c>
      <c r="D35" s="4" t="s">
        <v>231</v>
      </c>
      <c r="E35" s="4" t="s">
        <v>232</v>
      </c>
      <c r="F35" s="4" t="s">
        <v>74</v>
      </c>
      <c r="G35" s="4"/>
      <c r="H35" s="4" t="s">
        <v>75</v>
      </c>
      <c r="I35" s="4" t="s">
        <v>76</v>
      </c>
      <c r="J35" s="4"/>
      <c r="K35" s="4"/>
    </row>
    <row r="36" spans="1:11" ht="60" customHeight="1" x14ac:dyDescent="0.25">
      <c r="A36" s="4" t="s">
        <v>229</v>
      </c>
      <c r="B36" s="4" t="s">
        <v>230</v>
      </c>
      <c r="C36" s="10" t="s">
        <v>78</v>
      </c>
      <c r="D36" s="4" t="s">
        <v>233</v>
      </c>
      <c r="E36" s="4" t="s">
        <v>232</v>
      </c>
      <c r="F36" s="4" t="s">
        <v>74</v>
      </c>
      <c r="G36" s="4"/>
      <c r="H36" s="4" t="s">
        <v>75</v>
      </c>
      <c r="I36" s="4" t="s">
        <v>76</v>
      </c>
      <c r="J36" s="4"/>
      <c r="K36" s="4"/>
    </row>
    <row r="37" spans="1:11" ht="60" customHeight="1" x14ac:dyDescent="0.25">
      <c r="A37" s="4" t="s">
        <v>229</v>
      </c>
      <c r="B37" s="4" t="s">
        <v>230</v>
      </c>
      <c r="C37" s="10" t="s">
        <v>78</v>
      </c>
      <c r="D37" s="4" t="s">
        <v>234</v>
      </c>
      <c r="E37" s="4" t="s">
        <v>232</v>
      </c>
      <c r="F37" s="4" t="s">
        <v>74</v>
      </c>
      <c r="G37" s="4"/>
      <c r="H37" s="4" t="s">
        <v>75</v>
      </c>
      <c r="I37" s="4" t="s">
        <v>76</v>
      </c>
      <c r="J37" s="4"/>
      <c r="K37" s="4"/>
    </row>
    <row r="38" spans="1:11" ht="60" customHeight="1" x14ac:dyDescent="0.25">
      <c r="A38" s="4" t="s">
        <v>229</v>
      </c>
      <c r="B38" s="4" t="s">
        <v>230</v>
      </c>
      <c r="C38" s="10" t="s">
        <v>78</v>
      </c>
      <c r="D38" s="4" t="s">
        <v>235</v>
      </c>
      <c r="E38" s="4" t="s">
        <v>232</v>
      </c>
      <c r="F38" s="4" t="s">
        <v>74</v>
      </c>
      <c r="G38" s="4"/>
      <c r="H38" s="4" t="s">
        <v>75</v>
      </c>
      <c r="I38" s="4" t="s">
        <v>76</v>
      </c>
      <c r="J38" s="4"/>
      <c r="K38" s="4"/>
    </row>
    <row r="39" spans="1:11" x14ac:dyDescent="0.25">
      <c r="A39" s="8" t="s">
        <v>136</v>
      </c>
      <c r="B39" s="20" t="s">
        <v>137</v>
      </c>
      <c r="C39" s="21"/>
      <c r="D39" s="21"/>
      <c r="E39" s="21"/>
      <c r="F39" s="21"/>
      <c r="G39" s="21"/>
      <c r="H39" s="21"/>
      <c r="I39" s="21"/>
      <c r="J39" s="21"/>
      <c r="K39" s="22"/>
    </row>
    <row r="40" spans="1:11" ht="60" customHeight="1" x14ac:dyDescent="0.25">
      <c r="A40" s="4" t="s">
        <v>136</v>
      </c>
      <c r="B40" s="4" t="s">
        <v>137</v>
      </c>
      <c r="C40" s="9" t="s">
        <v>71</v>
      </c>
      <c r="D40" s="4" t="s">
        <v>138</v>
      </c>
      <c r="E40" s="4" t="s">
        <v>236</v>
      </c>
      <c r="F40" s="4" t="s">
        <v>74</v>
      </c>
      <c r="G40" s="4"/>
      <c r="H40" s="4" t="s">
        <v>75</v>
      </c>
      <c r="I40" s="4" t="s">
        <v>76</v>
      </c>
      <c r="J40" s="4"/>
      <c r="K40" s="4"/>
    </row>
    <row r="41" spans="1:11" ht="60" customHeight="1" x14ac:dyDescent="0.25">
      <c r="A41" s="4" t="s">
        <v>136</v>
      </c>
      <c r="B41" s="4" t="s">
        <v>137</v>
      </c>
      <c r="C41" s="10" t="s">
        <v>78</v>
      </c>
      <c r="D41" s="4" t="s">
        <v>237</v>
      </c>
      <c r="E41" s="4" t="s">
        <v>236</v>
      </c>
      <c r="F41" s="4" t="s">
        <v>74</v>
      </c>
      <c r="G41" s="4"/>
      <c r="H41" s="4" t="s">
        <v>75</v>
      </c>
      <c r="I41" s="4" t="s">
        <v>76</v>
      </c>
      <c r="J41" s="4"/>
      <c r="K41" s="4"/>
    </row>
    <row r="42" spans="1:11" x14ac:dyDescent="0.25">
      <c r="A42" s="8" t="s">
        <v>141</v>
      </c>
      <c r="B42" s="20" t="s">
        <v>142</v>
      </c>
      <c r="C42" s="21"/>
      <c r="D42" s="21"/>
      <c r="E42" s="21"/>
      <c r="F42" s="21"/>
      <c r="G42" s="21"/>
      <c r="H42" s="21"/>
      <c r="I42" s="21"/>
      <c r="J42" s="21"/>
      <c r="K42" s="22"/>
    </row>
    <row r="43" spans="1:11" ht="60" customHeight="1" x14ac:dyDescent="0.25">
      <c r="A43" s="4" t="s">
        <v>141</v>
      </c>
      <c r="B43" s="4" t="s">
        <v>142</v>
      </c>
      <c r="C43" s="9" t="s">
        <v>71</v>
      </c>
      <c r="D43" s="4" t="s">
        <v>143</v>
      </c>
      <c r="E43" s="4" t="s">
        <v>238</v>
      </c>
      <c r="F43" s="4" t="s">
        <v>74</v>
      </c>
      <c r="G43" s="4"/>
      <c r="H43" s="4" t="s">
        <v>75</v>
      </c>
      <c r="I43" s="4" t="s">
        <v>76</v>
      </c>
      <c r="J43" s="4"/>
      <c r="K43" s="4"/>
    </row>
    <row r="44" spans="1:11" ht="60" customHeight="1" x14ac:dyDescent="0.25">
      <c r="A44" s="4" t="s">
        <v>141</v>
      </c>
      <c r="B44" s="4" t="s">
        <v>142</v>
      </c>
      <c r="C44" s="10" t="s">
        <v>78</v>
      </c>
      <c r="D44" s="4" t="s">
        <v>239</v>
      </c>
      <c r="E44" s="4" t="s">
        <v>238</v>
      </c>
      <c r="F44" s="4" t="s">
        <v>74</v>
      </c>
      <c r="G44" s="4"/>
      <c r="H44" s="4" t="s">
        <v>75</v>
      </c>
      <c r="I44" s="4" t="s">
        <v>76</v>
      </c>
      <c r="J44" s="4"/>
      <c r="K44" s="4"/>
    </row>
    <row r="45" spans="1:11" x14ac:dyDescent="0.25">
      <c r="A45" s="8" t="s">
        <v>207</v>
      </c>
      <c r="B45" s="20" t="s">
        <v>208</v>
      </c>
      <c r="C45" s="21"/>
      <c r="D45" s="21"/>
      <c r="E45" s="21"/>
      <c r="F45" s="21"/>
      <c r="G45" s="21"/>
      <c r="H45" s="21"/>
      <c r="I45" s="21"/>
      <c r="J45" s="21"/>
      <c r="K45" s="22"/>
    </row>
    <row r="46" spans="1:11" ht="60" customHeight="1" x14ac:dyDescent="0.25">
      <c r="A46" s="4" t="s">
        <v>207</v>
      </c>
      <c r="B46" s="4" t="s">
        <v>208</v>
      </c>
      <c r="C46" s="9" t="s">
        <v>71</v>
      </c>
      <c r="D46" s="4" t="s">
        <v>209</v>
      </c>
      <c r="E46" s="4" t="s">
        <v>240</v>
      </c>
      <c r="F46" s="4" t="s">
        <v>74</v>
      </c>
      <c r="G46" s="4"/>
      <c r="H46" s="4" t="s">
        <v>75</v>
      </c>
      <c r="I46" s="4" t="s">
        <v>76</v>
      </c>
      <c r="J46" s="4"/>
      <c r="K46" s="4"/>
    </row>
    <row r="47" spans="1:11" ht="60" customHeight="1" x14ac:dyDescent="0.25">
      <c r="A47" s="4" t="s">
        <v>207</v>
      </c>
      <c r="B47" s="4" t="s">
        <v>208</v>
      </c>
      <c r="C47" s="10" t="s">
        <v>78</v>
      </c>
      <c r="D47" s="4" t="s">
        <v>241</v>
      </c>
      <c r="E47" s="4" t="s">
        <v>240</v>
      </c>
      <c r="F47" s="4" t="s">
        <v>74</v>
      </c>
      <c r="G47" s="4"/>
      <c r="H47" s="4" t="s">
        <v>75</v>
      </c>
      <c r="I47" s="4" t="s">
        <v>76</v>
      </c>
      <c r="J47" s="4"/>
      <c r="K47" s="4"/>
    </row>
    <row r="48" spans="1:11" x14ac:dyDescent="0.25">
      <c r="A48" s="8" t="s">
        <v>146</v>
      </c>
      <c r="B48" s="20" t="s">
        <v>147</v>
      </c>
      <c r="C48" s="21"/>
      <c r="D48" s="21"/>
      <c r="E48" s="21"/>
      <c r="F48" s="21"/>
      <c r="G48" s="21"/>
      <c r="H48" s="21"/>
      <c r="I48" s="21"/>
      <c r="J48" s="21"/>
      <c r="K48" s="22"/>
    </row>
    <row r="49" spans="1:11" ht="60" customHeight="1" x14ac:dyDescent="0.25">
      <c r="A49" s="4" t="s">
        <v>146</v>
      </c>
      <c r="B49" s="4" t="s">
        <v>147</v>
      </c>
      <c r="C49" s="9" t="s">
        <v>71</v>
      </c>
      <c r="D49" s="4" t="s">
        <v>148</v>
      </c>
      <c r="E49" s="4" t="s">
        <v>242</v>
      </c>
      <c r="F49" s="4" t="s">
        <v>74</v>
      </c>
      <c r="G49" s="4"/>
      <c r="H49" s="4" t="s">
        <v>75</v>
      </c>
      <c r="I49" s="4" t="s">
        <v>76</v>
      </c>
      <c r="J49" s="4"/>
      <c r="K49" s="4"/>
    </row>
    <row r="50" spans="1:11" ht="60" customHeight="1" x14ac:dyDescent="0.25">
      <c r="A50" s="4" t="s">
        <v>146</v>
      </c>
      <c r="B50" s="4" t="s">
        <v>147</v>
      </c>
      <c r="C50" s="10" t="s">
        <v>78</v>
      </c>
      <c r="D50" s="4" t="s">
        <v>243</v>
      </c>
      <c r="E50" s="4" t="s">
        <v>242</v>
      </c>
      <c r="F50" s="4" t="s">
        <v>74</v>
      </c>
      <c r="G50" s="4"/>
      <c r="H50" s="4" t="s">
        <v>75</v>
      </c>
      <c r="I50" s="4" t="s">
        <v>76</v>
      </c>
      <c r="J50" s="4"/>
      <c r="K50" s="4"/>
    </row>
  </sheetData>
  <mergeCells count="14">
    <mergeCell ref="A1:K1"/>
    <mergeCell ref="A2:K2"/>
    <mergeCell ref="B15:K15"/>
    <mergeCell ref="B39:K39"/>
    <mergeCell ref="B42:K42"/>
    <mergeCell ref="B11:K11"/>
    <mergeCell ref="B8:K8"/>
    <mergeCell ref="B18:K18"/>
    <mergeCell ref="B48:K48"/>
    <mergeCell ref="B34:K34"/>
    <mergeCell ref="B31:K31"/>
    <mergeCell ref="B45:K45"/>
    <mergeCell ref="B22:K22"/>
    <mergeCell ref="B26:K26"/>
  </mergeCells>
  <dataValidations count="2">
    <dataValidation type="list" allowBlank="1" sqref="H8:H50" xr:uid="{00000000-0002-0000-0300-000000000000}">
      <formula1>"Pending,Conformant,Minor NC,Major NC,OFI,N/A"</formula1>
    </dataValidation>
    <dataValidation type="list" allowBlank="1" sqref="I8:I50" xr:uid="{00000000-0002-0000-03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1"/>
  <sheetViews>
    <sheetView workbookViewId="0">
      <pane ySplit="7" topLeftCell="A8" activePane="bottomLeft" state="frozen"/>
      <selection sqref="A1:K1"/>
      <selection pane="bottomLeft" sqref="A1:K1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37.85546875" customWidth="1"/>
    <col min="5" max="5" width="26.85546875" customWidth="1"/>
    <col min="6" max="6" width="27.42578125" customWidth="1"/>
    <col min="7" max="7" width="38" customWidth="1"/>
    <col min="8" max="9" width="14" customWidth="1"/>
    <col min="10" max="11" width="16" customWidth="1"/>
  </cols>
  <sheetData>
    <row r="1" spans="1:11" ht="18" x14ac:dyDescent="0.25">
      <c r="A1" s="33" t="s">
        <v>244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8" t="s">
        <v>245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25">
      <c r="A4" s="6" t="s">
        <v>49</v>
      </c>
      <c r="C4" s="6" t="s">
        <v>50</v>
      </c>
      <c r="F4" s="6" t="s">
        <v>51</v>
      </c>
      <c r="I4" s="6" t="s">
        <v>52</v>
      </c>
      <c r="K4" s="6" t="s">
        <v>53</v>
      </c>
    </row>
    <row r="5" spans="1:11" ht="18" customHeight="1" x14ac:dyDescent="0.25">
      <c r="A5" s="6" t="s">
        <v>54</v>
      </c>
      <c r="C5" s="6" t="s">
        <v>55</v>
      </c>
      <c r="D5" t="s">
        <v>56</v>
      </c>
      <c r="F5" s="6" t="s">
        <v>57</v>
      </c>
      <c r="K5" s="7">
        <f>IFERROR(COUNTIF(H8:H41,"Conformant")/(COUNTA(H8:H41)-COUNTIF(H8:H41,"Pending")-COUNTIF(H8:H41,"N/A")),0)</f>
        <v>0</v>
      </c>
    </row>
    <row r="7" spans="1:11" ht="27.95" customHeight="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8" t="s">
        <v>81</v>
      </c>
      <c r="B8" s="20" t="s">
        <v>82</v>
      </c>
      <c r="C8" s="21"/>
      <c r="D8" s="21"/>
      <c r="E8" s="21"/>
      <c r="F8" s="21"/>
      <c r="G8" s="21"/>
      <c r="H8" s="21"/>
      <c r="I8" s="21"/>
      <c r="J8" s="21"/>
      <c r="K8" s="22"/>
    </row>
    <row r="9" spans="1:11" ht="60" customHeight="1" x14ac:dyDescent="0.25">
      <c r="A9" s="4" t="s">
        <v>81</v>
      </c>
      <c r="B9" s="4" t="s">
        <v>82</v>
      </c>
      <c r="C9" s="9" t="s">
        <v>71</v>
      </c>
      <c r="D9" s="4" t="s">
        <v>83</v>
      </c>
      <c r="E9" s="4" t="s">
        <v>246</v>
      </c>
      <c r="F9" s="4" t="s">
        <v>74</v>
      </c>
      <c r="G9" s="4"/>
      <c r="H9" s="4" t="s">
        <v>75</v>
      </c>
      <c r="I9" s="4" t="s">
        <v>76</v>
      </c>
      <c r="J9" s="4"/>
      <c r="K9" s="4"/>
    </row>
    <row r="10" spans="1:11" ht="60" customHeight="1" x14ac:dyDescent="0.25">
      <c r="A10" s="4" t="s">
        <v>81</v>
      </c>
      <c r="B10" s="4" t="s">
        <v>82</v>
      </c>
      <c r="C10" s="9" t="s">
        <v>71</v>
      </c>
      <c r="D10" s="4" t="s">
        <v>85</v>
      </c>
      <c r="E10" s="4" t="s">
        <v>246</v>
      </c>
      <c r="F10" s="4" t="s">
        <v>74</v>
      </c>
      <c r="G10" s="4"/>
      <c r="H10" s="4" t="s">
        <v>75</v>
      </c>
      <c r="I10" s="4" t="s">
        <v>76</v>
      </c>
      <c r="J10" s="4"/>
      <c r="K10" s="4"/>
    </row>
    <row r="11" spans="1:11" ht="60" customHeight="1" x14ac:dyDescent="0.25">
      <c r="A11" s="4" t="s">
        <v>81</v>
      </c>
      <c r="B11" s="4" t="s">
        <v>82</v>
      </c>
      <c r="C11" s="10" t="s">
        <v>78</v>
      </c>
      <c r="D11" s="4" t="s">
        <v>247</v>
      </c>
      <c r="E11" s="4" t="s">
        <v>246</v>
      </c>
      <c r="F11" s="4" t="s">
        <v>74</v>
      </c>
      <c r="G11" s="4"/>
      <c r="H11" s="4" t="s">
        <v>75</v>
      </c>
      <c r="I11" s="4" t="s">
        <v>76</v>
      </c>
      <c r="J11" s="4"/>
      <c r="K11" s="4"/>
    </row>
    <row r="12" spans="1:11" x14ac:dyDescent="0.25">
      <c r="A12" s="8" t="s">
        <v>109</v>
      </c>
      <c r="B12" s="20" t="s">
        <v>110</v>
      </c>
      <c r="C12" s="21"/>
      <c r="D12" s="21"/>
      <c r="E12" s="21"/>
      <c r="F12" s="21"/>
      <c r="G12" s="21"/>
      <c r="H12" s="21"/>
      <c r="I12" s="21"/>
      <c r="J12" s="21"/>
      <c r="K12" s="22"/>
    </row>
    <row r="13" spans="1:11" ht="60" customHeight="1" x14ac:dyDescent="0.25">
      <c r="A13" s="4" t="s">
        <v>109</v>
      </c>
      <c r="B13" s="4" t="s">
        <v>110</v>
      </c>
      <c r="C13" s="9" t="s">
        <v>71</v>
      </c>
      <c r="D13" s="4" t="s">
        <v>111</v>
      </c>
      <c r="E13" s="4" t="s">
        <v>248</v>
      </c>
      <c r="F13" s="4" t="s">
        <v>74</v>
      </c>
      <c r="G13" s="4"/>
      <c r="H13" s="4" t="s">
        <v>75</v>
      </c>
      <c r="I13" s="4" t="s">
        <v>76</v>
      </c>
      <c r="J13" s="4"/>
      <c r="K13" s="4"/>
    </row>
    <row r="14" spans="1:11" ht="60" customHeight="1" x14ac:dyDescent="0.25">
      <c r="A14" s="4" t="s">
        <v>109</v>
      </c>
      <c r="B14" s="4" t="s">
        <v>110</v>
      </c>
      <c r="C14" s="10" t="s">
        <v>78</v>
      </c>
      <c r="D14" s="4" t="s">
        <v>249</v>
      </c>
      <c r="E14" s="4" t="s">
        <v>248</v>
      </c>
      <c r="F14" s="4" t="s">
        <v>74</v>
      </c>
      <c r="G14" s="4"/>
      <c r="H14" s="4" t="s">
        <v>75</v>
      </c>
      <c r="I14" s="4" t="s">
        <v>76</v>
      </c>
      <c r="J14" s="4"/>
      <c r="K14" s="4"/>
    </row>
    <row r="15" spans="1:11" x14ac:dyDescent="0.25">
      <c r="A15" s="8" t="s">
        <v>114</v>
      </c>
      <c r="B15" s="20" t="s">
        <v>115</v>
      </c>
      <c r="C15" s="21"/>
      <c r="D15" s="21"/>
      <c r="E15" s="21"/>
      <c r="F15" s="21"/>
      <c r="G15" s="21"/>
      <c r="H15" s="21"/>
      <c r="I15" s="21"/>
      <c r="J15" s="21"/>
      <c r="K15" s="22"/>
    </row>
    <row r="16" spans="1:11" ht="60" customHeight="1" x14ac:dyDescent="0.25">
      <c r="A16" s="4" t="s">
        <v>114</v>
      </c>
      <c r="B16" s="4" t="s">
        <v>115</v>
      </c>
      <c r="C16" s="9" t="s">
        <v>71</v>
      </c>
      <c r="D16" s="4" t="s">
        <v>116</v>
      </c>
      <c r="E16" s="4" t="s">
        <v>250</v>
      </c>
      <c r="F16" s="4" t="s">
        <v>74</v>
      </c>
      <c r="G16" s="4"/>
      <c r="H16" s="4" t="s">
        <v>75</v>
      </c>
      <c r="I16" s="4" t="s">
        <v>76</v>
      </c>
      <c r="J16" s="4"/>
      <c r="K16" s="4"/>
    </row>
    <row r="17" spans="1:11" ht="60" customHeight="1" x14ac:dyDescent="0.25">
      <c r="A17" s="4" t="s">
        <v>114</v>
      </c>
      <c r="B17" s="4" t="s">
        <v>115</v>
      </c>
      <c r="C17" s="9" t="s">
        <v>71</v>
      </c>
      <c r="D17" s="4" t="s">
        <v>118</v>
      </c>
      <c r="E17" s="4" t="s">
        <v>250</v>
      </c>
      <c r="F17" s="4" t="s">
        <v>74</v>
      </c>
      <c r="G17" s="4"/>
      <c r="H17" s="4" t="s">
        <v>75</v>
      </c>
      <c r="I17" s="4" t="s">
        <v>76</v>
      </c>
      <c r="J17" s="4"/>
      <c r="K17" s="4"/>
    </row>
    <row r="18" spans="1:11" ht="60" customHeight="1" x14ac:dyDescent="0.25">
      <c r="A18" s="4" t="s">
        <v>114</v>
      </c>
      <c r="B18" s="4" t="s">
        <v>115</v>
      </c>
      <c r="C18" s="10" t="s">
        <v>78</v>
      </c>
      <c r="D18" s="4" t="s">
        <v>251</v>
      </c>
      <c r="E18" s="4" t="s">
        <v>250</v>
      </c>
      <c r="F18" s="4" t="s">
        <v>74</v>
      </c>
      <c r="G18" s="4"/>
      <c r="H18" s="4" t="s">
        <v>75</v>
      </c>
      <c r="I18" s="4" t="s">
        <v>76</v>
      </c>
      <c r="J18" s="4"/>
      <c r="K18" s="4"/>
    </row>
    <row r="19" spans="1:11" x14ac:dyDescent="0.25">
      <c r="A19" s="8" t="s">
        <v>120</v>
      </c>
      <c r="B19" s="20" t="s">
        <v>121</v>
      </c>
      <c r="C19" s="21"/>
      <c r="D19" s="21"/>
      <c r="E19" s="21"/>
      <c r="F19" s="21"/>
      <c r="G19" s="21"/>
      <c r="H19" s="21"/>
      <c r="I19" s="21"/>
      <c r="J19" s="21"/>
      <c r="K19" s="22"/>
    </row>
    <row r="20" spans="1:11" ht="60" customHeight="1" x14ac:dyDescent="0.25">
      <c r="A20" s="4" t="s">
        <v>120</v>
      </c>
      <c r="B20" s="4" t="s">
        <v>121</v>
      </c>
      <c r="C20" s="9" t="s">
        <v>71</v>
      </c>
      <c r="D20" s="4" t="s">
        <v>122</v>
      </c>
      <c r="E20" s="4" t="s">
        <v>252</v>
      </c>
      <c r="F20" s="4" t="s">
        <v>74</v>
      </c>
      <c r="G20" s="4"/>
      <c r="H20" s="4" t="s">
        <v>75</v>
      </c>
      <c r="I20" s="4" t="s">
        <v>76</v>
      </c>
      <c r="J20" s="4"/>
      <c r="K20" s="4"/>
    </row>
    <row r="21" spans="1:11" ht="60" customHeight="1" x14ac:dyDescent="0.25">
      <c r="A21" s="4" t="s">
        <v>120</v>
      </c>
      <c r="B21" s="4" t="s">
        <v>121</v>
      </c>
      <c r="C21" s="9" t="s">
        <v>71</v>
      </c>
      <c r="D21" s="4" t="s">
        <v>124</v>
      </c>
      <c r="E21" s="4" t="s">
        <v>252</v>
      </c>
      <c r="F21" s="4" t="s">
        <v>74</v>
      </c>
      <c r="G21" s="4"/>
      <c r="H21" s="4" t="s">
        <v>75</v>
      </c>
      <c r="I21" s="4" t="s">
        <v>76</v>
      </c>
      <c r="J21" s="4"/>
      <c r="K21" s="4"/>
    </row>
    <row r="22" spans="1:11" ht="60" customHeight="1" x14ac:dyDescent="0.25">
      <c r="A22" s="4" t="s">
        <v>120</v>
      </c>
      <c r="B22" s="4" t="s">
        <v>121</v>
      </c>
      <c r="C22" s="10" t="s">
        <v>78</v>
      </c>
      <c r="D22" s="4" t="s">
        <v>253</v>
      </c>
      <c r="E22" s="4" t="s">
        <v>252</v>
      </c>
      <c r="F22" s="4" t="s">
        <v>74</v>
      </c>
      <c r="G22" s="4"/>
      <c r="H22" s="4" t="s">
        <v>75</v>
      </c>
      <c r="I22" s="4" t="s">
        <v>76</v>
      </c>
      <c r="J22" s="4"/>
      <c r="K22" s="4"/>
    </row>
    <row r="23" spans="1:11" x14ac:dyDescent="0.25">
      <c r="A23" s="8" t="s">
        <v>131</v>
      </c>
      <c r="B23" s="20" t="s">
        <v>132</v>
      </c>
      <c r="C23" s="21"/>
      <c r="D23" s="21"/>
      <c r="E23" s="21"/>
      <c r="F23" s="21"/>
      <c r="G23" s="21"/>
      <c r="H23" s="21"/>
      <c r="I23" s="21"/>
      <c r="J23" s="21"/>
      <c r="K23" s="22"/>
    </row>
    <row r="24" spans="1:11" ht="60" customHeight="1" x14ac:dyDescent="0.25">
      <c r="A24" s="4" t="s">
        <v>131</v>
      </c>
      <c r="B24" s="4" t="s">
        <v>132</v>
      </c>
      <c r="C24" s="9" t="s">
        <v>71</v>
      </c>
      <c r="D24" s="4" t="s">
        <v>133</v>
      </c>
      <c r="E24" s="4" t="s">
        <v>254</v>
      </c>
      <c r="F24" s="4" t="s">
        <v>74</v>
      </c>
      <c r="G24" s="4"/>
      <c r="H24" s="4" t="s">
        <v>75</v>
      </c>
      <c r="I24" s="4" t="s">
        <v>76</v>
      </c>
      <c r="J24" s="4"/>
      <c r="K24" s="4"/>
    </row>
    <row r="25" spans="1:11" ht="60" customHeight="1" x14ac:dyDescent="0.25">
      <c r="A25" s="4" t="s">
        <v>131</v>
      </c>
      <c r="B25" s="4" t="s">
        <v>132</v>
      </c>
      <c r="C25" s="10" t="s">
        <v>78</v>
      </c>
      <c r="D25" s="4" t="s">
        <v>255</v>
      </c>
      <c r="E25" s="4" t="s">
        <v>254</v>
      </c>
      <c r="F25" s="4" t="s">
        <v>74</v>
      </c>
      <c r="G25" s="4"/>
      <c r="H25" s="4" t="s">
        <v>75</v>
      </c>
      <c r="I25" s="4" t="s">
        <v>76</v>
      </c>
      <c r="J25" s="4"/>
      <c r="K25" s="4"/>
    </row>
    <row r="26" spans="1:11" x14ac:dyDescent="0.25">
      <c r="A26" s="8" t="s">
        <v>164</v>
      </c>
      <c r="B26" s="20" t="s">
        <v>165</v>
      </c>
      <c r="C26" s="21"/>
      <c r="D26" s="21"/>
      <c r="E26" s="21"/>
      <c r="F26" s="21"/>
      <c r="G26" s="21"/>
      <c r="H26" s="21"/>
      <c r="I26" s="21"/>
      <c r="J26" s="21"/>
      <c r="K26" s="22"/>
    </row>
    <row r="27" spans="1:11" ht="60" customHeight="1" x14ac:dyDescent="0.25">
      <c r="A27" s="4" t="s">
        <v>164</v>
      </c>
      <c r="B27" s="4" t="s">
        <v>165</v>
      </c>
      <c r="C27" s="9" t="s">
        <v>71</v>
      </c>
      <c r="D27" s="4" t="s">
        <v>166</v>
      </c>
      <c r="E27" s="4" t="s">
        <v>256</v>
      </c>
      <c r="F27" s="4" t="s">
        <v>74</v>
      </c>
      <c r="G27" s="4"/>
      <c r="H27" s="4" t="s">
        <v>75</v>
      </c>
      <c r="I27" s="4" t="s">
        <v>76</v>
      </c>
      <c r="J27" s="4"/>
      <c r="K27" s="4"/>
    </row>
    <row r="28" spans="1:11" ht="60" customHeight="1" x14ac:dyDescent="0.25">
      <c r="A28" s="4" t="s">
        <v>164</v>
      </c>
      <c r="B28" s="4" t="s">
        <v>165</v>
      </c>
      <c r="C28" s="10" t="s">
        <v>78</v>
      </c>
      <c r="D28" s="4" t="s">
        <v>257</v>
      </c>
      <c r="E28" s="4" t="s">
        <v>256</v>
      </c>
      <c r="F28" s="4" t="s">
        <v>74</v>
      </c>
      <c r="G28" s="4"/>
      <c r="H28" s="4" t="s">
        <v>75</v>
      </c>
      <c r="I28" s="4" t="s">
        <v>76</v>
      </c>
      <c r="J28" s="4"/>
      <c r="K28" s="4"/>
    </row>
    <row r="29" spans="1:11" x14ac:dyDescent="0.25">
      <c r="A29" s="8" t="s">
        <v>258</v>
      </c>
      <c r="B29" s="20" t="s">
        <v>259</v>
      </c>
      <c r="C29" s="21"/>
      <c r="D29" s="21"/>
      <c r="E29" s="21"/>
      <c r="F29" s="21"/>
      <c r="G29" s="21"/>
      <c r="H29" s="21"/>
      <c r="I29" s="21"/>
      <c r="J29" s="21"/>
      <c r="K29" s="22"/>
    </row>
    <row r="30" spans="1:11" ht="60" customHeight="1" x14ac:dyDescent="0.25">
      <c r="A30" s="4" t="s">
        <v>258</v>
      </c>
      <c r="B30" s="4" t="s">
        <v>259</v>
      </c>
      <c r="C30" s="9" t="s">
        <v>71</v>
      </c>
      <c r="D30" s="4" t="s">
        <v>260</v>
      </c>
      <c r="E30" s="4" t="s">
        <v>261</v>
      </c>
      <c r="F30" s="4" t="s">
        <v>74</v>
      </c>
      <c r="G30" s="4"/>
      <c r="H30" s="4" t="s">
        <v>75</v>
      </c>
      <c r="I30" s="4" t="s">
        <v>76</v>
      </c>
      <c r="J30" s="4"/>
      <c r="K30" s="4"/>
    </row>
    <row r="31" spans="1:11" ht="60" customHeight="1" x14ac:dyDescent="0.25">
      <c r="A31" s="4" t="s">
        <v>258</v>
      </c>
      <c r="B31" s="4" t="s">
        <v>259</v>
      </c>
      <c r="C31" s="10" t="s">
        <v>78</v>
      </c>
      <c r="D31" s="4" t="s">
        <v>262</v>
      </c>
      <c r="E31" s="4" t="s">
        <v>261</v>
      </c>
      <c r="F31" s="4" t="s">
        <v>74</v>
      </c>
      <c r="G31" s="4"/>
      <c r="H31" s="4" t="s">
        <v>75</v>
      </c>
      <c r="I31" s="4" t="s">
        <v>76</v>
      </c>
      <c r="J31" s="4"/>
      <c r="K31" s="4"/>
    </row>
    <row r="32" spans="1:11" x14ac:dyDescent="0.25">
      <c r="A32" s="8" t="s">
        <v>169</v>
      </c>
      <c r="B32" s="20" t="s">
        <v>170</v>
      </c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60" customHeight="1" x14ac:dyDescent="0.25">
      <c r="A33" s="4" t="s">
        <v>169</v>
      </c>
      <c r="B33" s="4" t="s">
        <v>170</v>
      </c>
      <c r="C33" s="9" t="s">
        <v>71</v>
      </c>
      <c r="D33" s="4" t="s">
        <v>171</v>
      </c>
      <c r="E33" s="4" t="s">
        <v>263</v>
      </c>
      <c r="F33" s="4" t="s">
        <v>74</v>
      </c>
      <c r="G33" s="4"/>
      <c r="H33" s="4" t="s">
        <v>75</v>
      </c>
      <c r="I33" s="4" t="s">
        <v>76</v>
      </c>
      <c r="J33" s="4"/>
      <c r="K33" s="4"/>
    </row>
    <row r="34" spans="1:11" ht="60" customHeight="1" x14ac:dyDescent="0.25">
      <c r="A34" s="4" t="s">
        <v>169</v>
      </c>
      <c r="B34" s="4" t="s">
        <v>170</v>
      </c>
      <c r="C34" s="9" t="s">
        <v>71</v>
      </c>
      <c r="D34" s="4" t="s">
        <v>173</v>
      </c>
      <c r="E34" s="4" t="s">
        <v>263</v>
      </c>
      <c r="F34" s="4" t="s">
        <v>74</v>
      </c>
      <c r="G34" s="4"/>
      <c r="H34" s="4" t="s">
        <v>75</v>
      </c>
      <c r="I34" s="4" t="s">
        <v>76</v>
      </c>
      <c r="J34" s="4"/>
      <c r="K34" s="4"/>
    </row>
    <row r="35" spans="1:11" ht="60" customHeight="1" x14ac:dyDescent="0.25">
      <c r="A35" s="4" t="s">
        <v>169</v>
      </c>
      <c r="B35" s="4" t="s">
        <v>170</v>
      </c>
      <c r="C35" s="10" t="s">
        <v>78</v>
      </c>
      <c r="D35" s="4" t="s">
        <v>264</v>
      </c>
      <c r="E35" s="4" t="s">
        <v>263</v>
      </c>
      <c r="F35" s="4" t="s">
        <v>74</v>
      </c>
      <c r="G35" s="4"/>
      <c r="H35" s="4" t="s">
        <v>75</v>
      </c>
      <c r="I35" s="4" t="s">
        <v>76</v>
      </c>
      <c r="J35" s="4"/>
      <c r="K35" s="4"/>
    </row>
    <row r="36" spans="1:11" x14ac:dyDescent="0.25">
      <c r="A36" s="8" t="s">
        <v>202</v>
      </c>
      <c r="B36" s="20" t="s">
        <v>203</v>
      </c>
      <c r="C36" s="21"/>
      <c r="D36" s="21"/>
      <c r="E36" s="21"/>
      <c r="F36" s="21"/>
      <c r="G36" s="21"/>
      <c r="H36" s="21"/>
      <c r="I36" s="21"/>
      <c r="J36" s="21"/>
      <c r="K36" s="22"/>
    </row>
    <row r="37" spans="1:11" ht="60" customHeight="1" x14ac:dyDescent="0.25">
      <c r="A37" s="4" t="s">
        <v>202</v>
      </c>
      <c r="B37" s="4" t="s">
        <v>203</v>
      </c>
      <c r="C37" s="9" t="s">
        <v>71</v>
      </c>
      <c r="D37" s="4" t="s">
        <v>204</v>
      </c>
      <c r="E37" s="4" t="s">
        <v>265</v>
      </c>
      <c r="F37" s="4" t="s">
        <v>74</v>
      </c>
      <c r="G37" s="4"/>
      <c r="H37" s="4" t="s">
        <v>75</v>
      </c>
      <c r="I37" s="4" t="s">
        <v>76</v>
      </c>
      <c r="J37" s="4"/>
      <c r="K37" s="4"/>
    </row>
    <row r="38" spans="1:11" ht="60" customHeight="1" x14ac:dyDescent="0.25">
      <c r="A38" s="4" t="s">
        <v>202</v>
      </c>
      <c r="B38" s="4" t="s">
        <v>203</v>
      </c>
      <c r="C38" s="10" t="s">
        <v>78</v>
      </c>
      <c r="D38" s="4" t="s">
        <v>266</v>
      </c>
      <c r="E38" s="4" t="s">
        <v>265</v>
      </c>
      <c r="F38" s="4" t="s">
        <v>74</v>
      </c>
      <c r="G38" s="4"/>
      <c r="H38" s="4" t="s">
        <v>75</v>
      </c>
      <c r="I38" s="4" t="s">
        <v>76</v>
      </c>
      <c r="J38" s="4"/>
      <c r="K38" s="4"/>
    </row>
    <row r="39" spans="1:11" x14ac:dyDescent="0.25">
      <c r="A39" s="8" t="s">
        <v>207</v>
      </c>
      <c r="B39" s="20" t="s">
        <v>208</v>
      </c>
      <c r="C39" s="21"/>
      <c r="D39" s="21"/>
      <c r="E39" s="21"/>
      <c r="F39" s="21"/>
      <c r="G39" s="21"/>
      <c r="H39" s="21"/>
      <c r="I39" s="21"/>
      <c r="J39" s="21"/>
      <c r="K39" s="22"/>
    </row>
    <row r="40" spans="1:11" ht="60" customHeight="1" x14ac:dyDescent="0.25">
      <c r="A40" s="4" t="s">
        <v>207</v>
      </c>
      <c r="B40" s="4" t="s">
        <v>208</v>
      </c>
      <c r="C40" s="9" t="s">
        <v>71</v>
      </c>
      <c r="D40" s="4" t="s">
        <v>209</v>
      </c>
      <c r="E40" s="4" t="s">
        <v>267</v>
      </c>
      <c r="F40" s="4" t="s">
        <v>74</v>
      </c>
      <c r="G40" s="4"/>
      <c r="H40" s="4" t="s">
        <v>75</v>
      </c>
      <c r="I40" s="4" t="s">
        <v>76</v>
      </c>
      <c r="J40" s="4"/>
      <c r="K40" s="4"/>
    </row>
    <row r="41" spans="1:11" ht="60" customHeight="1" x14ac:dyDescent="0.25">
      <c r="A41" s="4" t="s">
        <v>207</v>
      </c>
      <c r="B41" s="4" t="s">
        <v>208</v>
      </c>
      <c r="C41" s="10" t="s">
        <v>78</v>
      </c>
      <c r="D41" s="4" t="s">
        <v>268</v>
      </c>
      <c r="E41" s="4" t="s">
        <v>267</v>
      </c>
      <c r="F41" s="4" t="s">
        <v>74</v>
      </c>
      <c r="G41" s="4"/>
      <c r="H41" s="4" t="s">
        <v>75</v>
      </c>
      <c r="I41" s="4" t="s">
        <v>76</v>
      </c>
      <c r="J41" s="4"/>
      <c r="K41" s="4"/>
    </row>
  </sheetData>
  <mergeCells count="12">
    <mergeCell ref="A1:K1"/>
    <mergeCell ref="B19:K19"/>
    <mergeCell ref="A2:K2"/>
    <mergeCell ref="B12:K12"/>
    <mergeCell ref="B15:K15"/>
    <mergeCell ref="B29:K29"/>
    <mergeCell ref="B39:K39"/>
    <mergeCell ref="B23:K23"/>
    <mergeCell ref="B8:K8"/>
    <mergeCell ref="B32:K32"/>
    <mergeCell ref="B26:K26"/>
    <mergeCell ref="B36:K36"/>
  </mergeCells>
  <dataValidations count="2">
    <dataValidation type="list" allowBlank="1" sqref="H8:H41" xr:uid="{00000000-0002-0000-0400-000000000000}">
      <formula1>"Pending,Conformant,Minor NC,Major NC,OFI,N/A"</formula1>
    </dataValidation>
    <dataValidation type="list" allowBlank="1" sqref="I8:I41" xr:uid="{00000000-0002-0000-04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5"/>
  <sheetViews>
    <sheetView workbookViewId="0">
      <pane ySplit="7" topLeftCell="A8" activePane="bottomLeft" state="frozen"/>
      <selection sqref="A1:K1"/>
      <selection pane="bottomLeft" sqref="A1:K1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55" customWidth="1"/>
    <col min="5" max="7" width="38" customWidth="1"/>
    <col min="8" max="9" width="14" customWidth="1"/>
    <col min="10" max="11" width="16" customWidth="1"/>
  </cols>
  <sheetData>
    <row r="1" spans="1:11" ht="18" x14ac:dyDescent="0.25">
      <c r="A1" s="33" t="s">
        <v>269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8" t="s">
        <v>270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25">
      <c r="A4" s="6" t="s">
        <v>49</v>
      </c>
      <c r="C4" s="6" t="s">
        <v>50</v>
      </c>
      <c r="F4" s="6" t="s">
        <v>51</v>
      </c>
      <c r="I4" s="6" t="s">
        <v>52</v>
      </c>
      <c r="K4" s="6" t="s">
        <v>53</v>
      </c>
    </row>
    <row r="5" spans="1:11" ht="18" customHeight="1" x14ac:dyDescent="0.25">
      <c r="A5" s="6" t="s">
        <v>54</v>
      </c>
      <c r="C5" s="6" t="s">
        <v>55</v>
      </c>
      <c r="D5" t="s">
        <v>56</v>
      </c>
      <c r="F5" s="6" t="s">
        <v>57</v>
      </c>
      <c r="K5" s="7">
        <f>IFERROR(COUNTIF(H8:H45,"Conformant")/(COUNTA(H8:H45)-COUNTIF(H8:H45,"Pending")-COUNTIF(H8:H45,"N/A")),0)</f>
        <v>0</v>
      </c>
    </row>
    <row r="7" spans="1:11" ht="27.95" customHeight="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8" t="s">
        <v>92</v>
      </c>
      <c r="B8" s="20" t="s">
        <v>93</v>
      </c>
      <c r="C8" s="21"/>
      <c r="D8" s="21"/>
      <c r="E8" s="21"/>
      <c r="F8" s="21"/>
      <c r="G8" s="21"/>
      <c r="H8" s="21"/>
      <c r="I8" s="21"/>
      <c r="J8" s="21"/>
      <c r="K8" s="22"/>
    </row>
    <row r="9" spans="1:11" ht="60" customHeight="1" x14ac:dyDescent="0.25">
      <c r="A9" s="4" t="s">
        <v>92</v>
      </c>
      <c r="B9" s="4" t="s">
        <v>93</v>
      </c>
      <c r="C9" s="9" t="s">
        <v>71</v>
      </c>
      <c r="D9" s="4" t="s">
        <v>94</v>
      </c>
      <c r="E9" s="4" t="s">
        <v>271</v>
      </c>
      <c r="F9" s="4" t="s">
        <v>74</v>
      </c>
      <c r="G9" s="4"/>
      <c r="H9" s="4" t="s">
        <v>75</v>
      </c>
      <c r="I9" s="4" t="s">
        <v>76</v>
      </c>
      <c r="J9" s="4"/>
      <c r="K9" s="4"/>
    </row>
    <row r="10" spans="1:11" ht="60" customHeight="1" x14ac:dyDescent="0.25">
      <c r="A10" s="4" t="s">
        <v>92</v>
      </c>
      <c r="B10" s="4" t="s">
        <v>93</v>
      </c>
      <c r="C10" s="9" t="s">
        <v>71</v>
      </c>
      <c r="D10" s="4" t="s">
        <v>96</v>
      </c>
      <c r="E10" s="4" t="s">
        <v>271</v>
      </c>
      <c r="F10" s="4" t="s">
        <v>74</v>
      </c>
      <c r="G10" s="4"/>
      <c r="H10" s="4" t="s">
        <v>75</v>
      </c>
      <c r="I10" s="4" t="s">
        <v>76</v>
      </c>
      <c r="J10" s="4"/>
      <c r="K10" s="4"/>
    </row>
    <row r="11" spans="1:11" ht="60" customHeight="1" x14ac:dyDescent="0.25">
      <c r="A11" s="4" t="s">
        <v>92</v>
      </c>
      <c r="B11" s="4" t="s">
        <v>93</v>
      </c>
      <c r="C11" s="10" t="s">
        <v>78</v>
      </c>
      <c r="D11" s="4" t="s">
        <v>272</v>
      </c>
      <c r="E11" s="4" t="s">
        <v>271</v>
      </c>
      <c r="F11" s="4" t="s">
        <v>74</v>
      </c>
      <c r="G11" s="4"/>
      <c r="H11" s="4" t="s">
        <v>75</v>
      </c>
      <c r="I11" s="4" t="s">
        <v>76</v>
      </c>
      <c r="J11" s="4"/>
      <c r="K11" s="4"/>
    </row>
    <row r="12" spans="1:11" x14ac:dyDescent="0.25">
      <c r="A12" s="8" t="s">
        <v>114</v>
      </c>
      <c r="B12" s="20" t="s">
        <v>115</v>
      </c>
      <c r="C12" s="21"/>
      <c r="D12" s="21"/>
      <c r="E12" s="21"/>
      <c r="F12" s="21"/>
      <c r="G12" s="21"/>
      <c r="H12" s="21"/>
      <c r="I12" s="21"/>
      <c r="J12" s="21"/>
      <c r="K12" s="22"/>
    </row>
    <row r="13" spans="1:11" ht="60" customHeight="1" x14ac:dyDescent="0.25">
      <c r="A13" s="4" t="s">
        <v>114</v>
      </c>
      <c r="B13" s="4" t="s">
        <v>115</v>
      </c>
      <c r="C13" s="9" t="s">
        <v>71</v>
      </c>
      <c r="D13" s="4" t="s">
        <v>116</v>
      </c>
      <c r="E13" s="4" t="s">
        <v>273</v>
      </c>
      <c r="F13" s="4" t="s">
        <v>74</v>
      </c>
      <c r="G13" s="4"/>
      <c r="H13" s="4" t="s">
        <v>75</v>
      </c>
      <c r="I13" s="4" t="s">
        <v>76</v>
      </c>
      <c r="J13" s="4"/>
      <c r="K13" s="4"/>
    </row>
    <row r="14" spans="1:11" ht="60" customHeight="1" x14ac:dyDescent="0.25">
      <c r="A14" s="4" t="s">
        <v>114</v>
      </c>
      <c r="B14" s="4" t="s">
        <v>115</v>
      </c>
      <c r="C14" s="9" t="s">
        <v>71</v>
      </c>
      <c r="D14" s="4" t="s">
        <v>118</v>
      </c>
      <c r="E14" s="4" t="s">
        <v>273</v>
      </c>
      <c r="F14" s="4" t="s">
        <v>74</v>
      </c>
      <c r="G14" s="4"/>
      <c r="H14" s="4" t="s">
        <v>75</v>
      </c>
      <c r="I14" s="4" t="s">
        <v>76</v>
      </c>
      <c r="J14" s="4"/>
      <c r="K14" s="4"/>
    </row>
    <row r="15" spans="1:11" ht="60" customHeight="1" x14ac:dyDescent="0.25">
      <c r="A15" s="4" t="s">
        <v>114</v>
      </c>
      <c r="B15" s="4" t="s">
        <v>115</v>
      </c>
      <c r="C15" s="10" t="s">
        <v>78</v>
      </c>
      <c r="D15" s="4" t="s">
        <v>274</v>
      </c>
      <c r="E15" s="4" t="s">
        <v>273</v>
      </c>
      <c r="F15" s="4" t="s">
        <v>74</v>
      </c>
      <c r="G15" s="4"/>
      <c r="H15" s="4" t="s">
        <v>75</v>
      </c>
      <c r="I15" s="4" t="s">
        <v>76</v>
      </c>
      <c r="J15" s="4"/>
      <c r="K15" s="4"/>
    </row>
    <row r="16" spans="1:11" x14ac:dyDescent="0.25">
      <c r="A16" s="8" t="s">
        <v>120</v>
      </c>
      <c r="B16" s="20" t="s">
        <v>121</v>
      </c>
      <c r="C16" s="21"/>
      <c r="D16" s="21"/>
      <c r="E16" s="21"/>
      <c r="F16" s="21"/>
      <c r="G16" s="21"/>
      <c r="H16" s="21"/>
      <c r="I16" s="21"/>
      <c r="J16" s="21"/>
      <c r="K16" s="22"/>
    </row>
    <row r="17" spans="1:11" ht="60" customHeight="1" x14ac:dyDescent="0.25">
      <c r="A17" s="4" t="s">
        <v>120</v>
      </c>
      <c r="B17" s="4" t="s">
        <v>121</v>
      </c>
      <c r="C17" s="9" t="s">
        <v>71</v>
      </c>
      <c r="D17" s="4" t="s">
        <v>122</v>
      </c>
      <c r="E17" s="4" t="s">
        <v>159</v>
      </c>
      <c r="F17" s="4" t="s">
        <v>74</v>
      </c>
      <c r="G17" s="4"/>
      <c r="H17" s="4" t="s">
        <v>75</v>
      </c>
      <c r="I17" s="4" t="s">
        <v>76</v>
      </c>
      <c r="J17" s="4"/>
      <c r="K17" s="4"/>
    </row>
    <row r="18" spans="1:11" ht="60" customHeight="1" x14ac:dyDescent="0.25">
      <c r="A18" s="4" t="s">
        <v>120</v>
      </c>
      <c r="B18" s="4" t="s">
        <v>121</v>
      </c>
      <c r="C18" s="9" t="s">
        <v>71</v>
      </c>
      <c r="D18" s="4" t="s">
        <v>124</v>
      </c>
      <c r="E18" s="4" t="s">
        <v>159</v>
      </c>
      <c r="F18" s="4" t="s">
        <v>74</v>
      </c>
      <c r="G18" s="4"/>
      <c r="H18" s="4" t="s">
        <v>75</v>
      </c>
      <c r="I18" s="4" t="s">
        <v>76</v>
      </c>
      <c r="J18" s="4"/>
      <c r="K18" s="4"/>
    </row>
    <row r="19" spans="1:11" ht="60" customHeight="1" x14ac:dyDescent="0.25">
      <c r="A19" s="4" t="s">
        <v>120</v>
      </c>
      <c r="B19" s="4" t="s">
        <v>121</v>
      </c>
      <c r="C19" s="10" t="s">
        <v>78</v>
      </c>
      <c r="D19" s="4" t="s">
        <v>275</v>
      </c>
      <c r="E19" s="4" t="s">
        <v>159</v>
      </c>
      <c r="F19" s="4" t="s">
        <v>74</v>
      </c>
      <c r="G19" s="4"/>
      <c r="H19" s="4" t="s">
        <v>75</v>
      </c>
      <c r="I19" s="4" t="s">
        <v>76</v>
      </c>
      <c r="J19" s="4"/>
      <c r="K19" s="4"/>
    </row>
    <row r="20" spans="1:11" x14ac:dyDescent="0.25">
      <c r="A20" s="8" t="s">
        <v>131</v>
      </c>
      <c r="B20" s="20" t="s">
        <v>132</v>
      </c>
      <c r="C20" s="21"/>
      <c r="D20" s="21"/>
      <c r="E20" s="21"/>
      <c r="F20" s="21"/>
      <c r="G20" s="21"/>
      <c r="H20" s="21"/>
      <c r="I20" s="21"/>
      <c r="J20" s="21"/>
      <c r="K20" s="22"/>
    </row>
    <row r="21" spans="1:11" ht="60" customHeight="1" x14ac:dyDescent="0.25">
      <c r="A21" s="4" t="s">
        <v>131</v>
      </c>
      <c r="B21" s="4" t="s">
        <v>132</v>
      </c>
      <c r="C21" s="9" t="s">
        <v>71</v>
      </c>
      <c r="D21" s="4" t="s">
        <v>133</v>
      </c>
      <c r="E21" s="4" t="s">
        <v>276</v>
      </c>
      <c r="F21" s="4" t="s">
        <v>74</v>
      </c>
      <c r="G21" s="4"/>
      <c r="H21" s="4" t="s">
        <v>75</v>
      </c>
      <c r="I21" s="4" t="s">
        <v>76</v>
      </c>
      <c r="J21" s="4"/>
      <c r="K21" s="4"/>
    </row>
    <row r="22" spans="1:11" ht="60" customHeight="1" x14ac:dyDescent="0.25">
      <c r="A22" s="4" t="s">
        <v>131</v>
      </c>
      <c r="B22" s="4" t="s">
        <v>132</v>
      </c>
      <c r="C22" s="10" t="s">
        <v>78</v>
      </c>
      <c r="D22" s="4" t="s">
        <v>277</v>
      </c>
      <c r="E22" s="4" t="s">
        <v>276</v>
      </c>
      <c r="F22" s="4" t="s">
        <v>74</v>
      </c>
      <c r="G22" s="4"/>
      <c r="H22" s="4" t="s">
        <v>75</v>
      </c>
      <c r="I22" s="4" t="s">
        <v>76</v>
      </c>
      <c r="J22" s="4"/>
      <c r="K22" s="4"/>
    </row>
    <row r="23" spans="1:11" x14ac:dyDescent="0.25">
      <c r="A23" s="8" t="s">
        <v>169</v>
      </c>
      <c r="B23" s="20" t="s">
        <v>170</v>
      </c>
      <c r="C23" s="21"/>
      <c r="D23" s="21"/>
      <c r="E23" s="21"/>
      <c r="F23" s="21"/>
      <c r="G23" s="21"/>
      <c r="H23" s="21"/>
      <c r="I23" s="21"/>
      <c r="J23" s="21"/>
      <c r="K23" s="22"/>
    </row>
    <row r="24" spans="1:11" ht="60" customHeight="1" x14ac:dyDescent="0.25">
      <c r="A24" s="4" t="s">
        <v>169</v>
      </c>
      <c r="B24" s="4" t="s">
        <v>170</v>
      </c>
      <c r="C24" s="9" t="s">
        <v>71</v>
      </c>
      <c r="D24" s="4" t="s">
        <v>171</v>
      </c>
      <c r="E24" s="4" t="s">
        <v>278</v>
      </c>
      <c r="F24" s="4" t="s">
        <v>74</v>
      </c>
      <c r="G24" s="4"/>
      <c r="H24" s="4" t="s">
        <v>75</v>
      </c>
      <c r="I24" s="4" t="s">
        <v>76</v>
      </c>
      <c r="J24" s="4"/>
      <c r="K24" s="4"/>
    </row>
    <row r="25" spans="1:11" ht="60" customHeight="1" x14ac:dyDescent="0.25">
      <c r="A25" s="4" t="s">
        <v>169</v>
      </c>
      <c r="B25" s="4" t="s">
        <v>170</v>
      </c>
      <c r="C25" s="9" t="s">
        <v>71</v>
      </c>
      <c r="D25" s="4" t="s">
        <v>173</v>
      </c>
      <c r="E25" s="4" t="s">
        <v>278</v>
      </c>
      <c r="F25" s="4" t="s">
        <v>74</v>
      </c>
      <c r="G25" s="4"/>
      <c r="H25" s="4" t="s">
        <v>75</v>
      </c>
      <c r="I25" s="4" t="s">
        <v>76</v>
      </c>
      <c r="J25" s="4"/>
      <c r="K25" s="4"/>
    </row>
    <row r="26" spans="1:11" ht="60" customHeight="1" x14ac:dyDescent="0.25">
      <c r="A26" s="4" t="s">
        <v>169</v>
      </c>
      <c r="B26" s="4" t="s">
        <v>170</v>
      </c>
      <c r="C26" s="10" t="s">
        <v>78</v>
      </c>
      <c r="D26" s="4" t="s">
        <v>279</v>
      </c>
      <c r="E26" s="4" t="s">
        <v>278</v>
      </c>
      <c r="F26" s="4" t="s">
        <v>74</v>
      </c>
      <c r="G26" s="4"/>
      <c r="H26" s="4" t="s">
        <v>75</v>
      </c>
      <c r="I26" s="4" t="s">
        <v>76</v>
      </c>
      <c r="J26" s="4"/>
      <c r="K26" s="4"/>
    </row>
    <row r="27" spans="1:11" x14ac:dyDescent="0.25">
      <c r="A27" s="8" t="s">
        <v>175</v>
      </c>
      <c r="B27" s="20" t="s">
        <v>176</v>
      </c>
      <c r="C27" s="21"/>
      <c r="D27" s="21"/>
      <c r="E27" s="21"/>
      <c r="F27" s="21"/>
      <c r="G27" s="21"/>
      <c r="H27" s="21"/>
      <c r="I27" s="21"/>
      <c r="J27" s="21"/>
      <c r="K27" s="22"/>
    </row>
    <row r="28" spans="1:11" ht="60" customHeight="1" x14ac:dyDescent="0.25">
      <c r="A28" s="4" t="s">
        <v>175</v>
      </c>
      <c r="B28" s="4" t="s">
        <v>176</v>
      </c>
      <c r="C28" s="9" t="s">
        <v>71</v>
      </c>
      <c r="D28" s="4" t="s">
        <v>177</v>
      </c>
      <c r="E28" s="4" t="s">
        <v>280</v>
      </c>
      <c r="F28" s="4" t="s">
        <v>74</v>
      </c>
      <c r="G28" s="4"/>
      <c r="H28" s="4" t="s">
        <v>75</v>
      </c>
      <c r="I28" s="4" t="s">
        <v>76</v>
      </c>
      <c r="J28" s="4"/>
      <c r="K28" s="4"/>
    </row>
    <row r="29" spans="1:11" ht="60" customHeight="1" x14ac:dyDescent="0.25">
      <c r="A29" s="4" t="s">
        <v>175</v>
      </c>
      <c r="B29" s="4" t="s">
        <v>176</v>
      </c>
      <c r="C29" s="10" t="s">
        <v>78</v>
      </c>
      <c r="D29" s="4" t="s">
        <v>281</v>
      </c>
      <c r="E29" s="4" t="s">
        <v>280</v>
      </c>
      <c r="F29" s="4" t="s">
        <v>74</v>
      </c>
      <c r="G29" s="4"/>
      <c r="H29" s="4" t="s">
        <v>75</v>
      </c>
      <c r="I29" s="4" t="s">
        <v>76</v>
      </c>
      <c r="J29" s="4"/>
      <c r="K29" s="4"/>
    </row>
    <row r="30" spans="1:11" x14ac:dyDescent="0.25">
      <c r="A30" s="8" t="s">
        <v>185</v>
      </c>
      <c r="B30" s="20" t="s">
        <v>186</v>
      </c>
      <c r="C30" s="21"/>
      <c r="D30" s="21"/>
      <c r="E30" s="21"/>
      <c r="F30" s="21"/>
      <c r="G30" s="21"/>
      <c r="H30" s="21"/>
      <c r="I30" s="21"/>
      <c r="J30" s="21"/>
      <c r="K30" s="22"/>
    </row>
    <row r="31" spans="1:11" ht="60" customHeight="1" x14ac:dyDescent="0.25">
      <c r="A31" s="4" t="s">
        <v>185</v>
      </c>
      <c r="B31" s="4" t="s">
        <v>186</v>
      </c>
      <c r="C31" s="9" t="s">
        <v>71</v>
      </c>
      <c r="D31" s="4" t="s">
        <v>187</v>
      </c>
      <c r="E31" s="4" t="s">
        <v>282</v>
      </c>
      <c r="F31" s="4" t="s">
        <v>74</v>
      </c>
      <c r="G31" s="4"/>
      <c r="H31" s="4" t="s">
        <v>75</v>
      </c>
      <c r="I31" s="4" t="s">
        <v>76</v>
      </c>
      <c r="J31" s="4"/>
      <c r="K31" s="4"/>
    </row>
    <row r="32" spans="1:11" ht="60" customHeight="1" x14ac:dyDescent="0.25">
      <c r="A32" s="4" t="s">
        <v>185</v>
      </c>
      <c r="B32" s="4" t="s">
        <v>186</v>
      </c>
      <c r="C32" s="10" t="s">
        <v>78</v>
      </c>
      <c r="D32" s="4" t="s">
        <v>283</v>
      </c>
      <c r="E32" s="4" t="s">
        <v>282</v>
      </c>
      <c r="F32" s="4" t="s">
        <v>74</v>
      </c>
      <c r="G32" s="4"/>
      <c r="H32" s="4" t="s">
        <v>75</v>
      </c>
      <c r="I32" s="4" t="s">
        <v>76</v>
      </c>
      <c r="J32" s="4"/>
      <c r="K32" s="4"/>
    </row>
    <row r="33" spans="1:11" ht="60" customHeight="1" x14ac:dyDescent="0.25">
      <c r="A33" s="4" t="s">
        <v>185</v>
      </c>
      <c r="B33" s="4" t="s">
        <v>186</v>
      </c>
      <c r="C33" s="10" t="s">
        <v>78</v>
      </c>
      <c r="D33" s="4" t="s">
        <v>284</v>
      </c>
      <c r="E33" s="4" t="s">
        <v>282</v>
      </c>
      <c r="F33" s="4" t="s">
        <v>74</v>
      </c>
      <c r="G33" s="4"/>
      <c r="H33" s="4" t="s">
        <v>75</v>
      </c>
      <c r="I33" s="4" t="s">
        <v>76</v>
      </c>
      <c r="J33" s="4"/>
      <c r="K33" s="4"/>
    </row>
    <row r="34" spans="1:11" x14ac:dyDescent="0.25">
      <c r="A34" s="8" t="s">
        <v>191</v>
      </c>
      <c r="B34" s="20" t="s">
        <v>192</v>
      </c>
      <c r="C34" s="21"/>
      <c r="D34" s="21"/>
      <c r="E34" s="21"/>
      <c r="F34" s="21"/>
      <c r="G34" s="21"/>
      <c r="H34" s="21"/>
      <c r="I34" s="21"/>
      <c r="J34" s="21"/>
      <c r="K34" s="22"/>
    </row>
    <row r="35" spans="1:11" ht="60" customHeight="1" x14ac:dyDescent="0.25">
      <c r="A35" s="4" t="s">
        <v>191</v>
      </c>
      <c r="B35" s="4" t="s">
        <v>192</v>
      </c>
      <c r="C35" s="9" t="s">
        <v>71</v>
      </c>
      <c r="D35" s="4" t="s">
        <v>193</v>
      </c>
      <c r="E35" s="4" t="s">
        <v>285</v>
      </c>
      <c r="F35" s="4" t="s">
        <v>74</v>
      </c>
      <c r="G35" s="4"/>
      <c r="H35" s="4" t="s">
        <v>75</v>
      </c>
      <c r="I35" s="4" t="s">
        <v>76</v>
      </c>
      <c r="J35" s="4"/>
      <c r="K35" s="4"/>
    </row>
    <row r="36" spans="1:11" ht="60" customHeight="1" x14ac:dyDescent="0.25">
      <c r="A36" s="4" t="s">
        <v>191</v>
      </c>
      <c r="B36" s="4" t="s">
        <v>192</v>
      </c>
      <c r="C36" s="10" t="s">
        <v>78</v>
      </c>
      <c r="D36" s="4" t="s">
        <v>286</v>
      </c>
      <c r="E36" s="4" t="s">
        <v>285</v>
      </c>
      <c r="F36" s="4" t="s">
        <v>74</v>
      </c>
      <c r="G36" s="4"/>
      <c r="H36" s="4" t="s">
        <v>75</v>
      </c>
      <c r="I36" s="4" t="s">
        <v>76</v>
      </c>
      <c r="J36" s="4"/>
      <c r="K36" s="4"/>
    </row>
    <row r="37" spans="1:11" x14ac:dyDescent="0.25">
      <c r="A37" s="8" t="s">
        <v>197</v>
      </c>
      <c r="B37" s="20" t="s">
        <v>198</v>
      </c>
      <c r="C37" s="21"/>
      <c r="D37" s="21"/>
      <c r="E37" s="21"/>
      <c r="F37" s="21"/>
      <c r="G37" s="21"/>
      <c r="H37" s="21"/>
      <c r="I37" s="21"/>
      <c r="J37" s="21"/>
      <c r="K37" s="22"/>
    </row>
    <row r="38" spans="1:11" ht="60" customHeight="1" x14ac:dyDescent="0.25">
      <c r="A38" s="4" t="s">
        <v>197</v>
      </c>
      <c r="B38" s="4" t="s">
        <v>198</v>
      </c>
      <c r="C38" s="9" t="s">
        <v>71</v>
      </c>
      <c r="D38" s="4" t="s">
        <v>199</v>
      </c>
      <c r="E38" s="4" t="s">
        <v>287</v>
      </c>
      <c r="F38" s="4" t="s">
        <v>74</v>
      </c>
      <c r="G38" s="4"/>
      <c r="H38" s="4" t="s">
        <v>75</v>
      </c>
      <c r="I38" s="4" t="s">
        <v>76</v>
      </c>
      <c r="J38" s="4"/>
      <c r="K38" s="4"/>
    </row>
    <row r="39" spans="1:11" ht="60" customHeight="1" x14ac:dyDescent="0.25">
      <c r="A39" s="4" t="s">
        <v>197</v>
      </c>
      <c r="B39" s="4" t="s">
        <v>198</v>
      </c>
      <c r="C39" s="10" t="s">
        <v>78</v>
      </c>
      <c r="D39" s="4" t="s">
        <v>288</v>
      </c>
      <c r="E39" s="4" t="s">
        <v>287</v>
      </c>
      <c r="F39" s="4" t="s">
        <v>74</v>
      </c>
      <c r="G39" s="4"/>
      <c r="H39" s="4" t="s">
        <v>75</v>
      </c>
      <c r="I39" s="4" t="s">
        <v>76</v>
      </c>
      <c r="J39" s="4"/>
      <c r="K39" s="4"/>
    </row>
    <row r="40" spans="1:11" x14ac:dyDescent="0.25">
      <c r="A40" s="8" t="s">
        <v>202</v>
      </c>
      <c r="B40" s="20" t="s">
        <v>203</v>
      </c>
      <c r="C40" s="21"/>
      <c r="D40" s="21"/>
      <c r="E40" s="21"/>
      <c r="F40" s="21"/>
      <c r="G40" s="21"/>
      <c r="H40" s="21"/>
      <c r="I40" s="21"/>
      <c r="J40" s="21"/>
      <c r="K40" s="22"/>
    </row>
    <row r="41" spans="1:11" ht="60" customHeight="1" x14ac:dyDescent="0.25">
      <c r="A41" s="4" t="s">
        <v>202</v>
      </c>
      <c r="B41" s="4" t="s">
        <v>203</v>
      </c>
      <c r="C41" s="9" t="s">
        <v>71</v>
      </c>
      <c r="D41" s="4" t="s">
        <v>204</v>
      </c>
      <c r="E41" s="4" t="s">
        <v>289</v>
      </c>
      <c r="F41" s="4" t="s">
        <v>74</v>
      </c>
      <c r="G41" s="4"/>
      <c r="H41" s="4" t="s">
        <v>75</v>
      </c>
      <c r="I41" s="4" t="s">
        <v>76</v>
      </c>
      <c r="J41" s="4"/>
      <c r="K41" s="4"/>
    </row>
    <row r="42" spans="1:11" ht="60" customHeight="1" x14ac:dyDescent="0.25">
      <c r="A42" s="4" t="s">
        <v>202</v>
      </c>
      <c r="B42" s="4" t="s">
        <v>203</v>
      </c>
      <c r="C42" s="10" t="s">
        <v>78</v>
      </c>
      <c r="D42" s="4" t="s">
        <v>290</v>
      </c>
      <c r="E42" s="4" t="s">
        <v>289</v>
      </c>
      <c r="F42" s="4" t="s">
        <v>74</v>
      </c>
      <c r="G42" s="4"/>
      <c r="H42" s="4" t="s">
        <v>75</v>
      </c>
      <c r="I42" s="4" t="s">
        <v>76</v>
      </c>
      <c r="J42" s="4"/>
      <c r="K42" s="4"/>
    </row>
    <row r="43" spans="1:11" x14ac:dyDescent="0.25">
      <c r="A43" s="8" t="s">
        <v>207</v>
      </c>
      <c r="B43" s="20" t="s">
        <v>208</v>
      </c>
      <c r="C43" s="21"/>
      <c r="D43" s="21"/>
      <c r="E43" s="21"/>
      <c r="F43" s="21"/>
      <c r="G43" s="21"/>
      <c r="H43" s="21"/>
      <c r="I43" s="21"/>
      <c r="J43" s="21"/>
      <c r="K43" s="22"/>
    </row>
    <row r="44" spans="1:11" ht="60" customHeight="1" x14ac:dyDescent="0.25">
      <c r="A44" s="4" t="s">
        <v>207</v>
      </c>
      <c r="B44" s="4" t="s">
        <v>208</v>
      </c>
      <c r="C44" s="9" t="s">
        <v>71</v>
      </c>
      <c r="D44" s="4" t="s">
        <v>209</v>
      </c>
      <c r="E44" s="4" t="s">
        <v>291</v>
      </c>
      <c r="F44" s="4" t="s">
        <v>74</v>
      </c>
      <c r="G44" s="4"/>
      <c r="H44" s="4" t="s">
        <v>75</v>
      </c>
      <c r="I44" s="4" t="s">
        <v>76</v>
      </c>
      <c r="J44" s="4"/>
      <c r="K44" s="4"/>
    </row>
    <row r="45" spans="1:11" ht="60" customHeight="1" x14ac:dyDescent="0.25">
      <c r="A45" s="4" t="s">
        <v>207</v>
      </c>
      <c r="B45" s="4" t="s">
        <v>208</v>
      </c>
      <c r="C45" s="10" t="s">
        <v>78</v>
      </c>
      <c r="D45" s="4" t="s">
        <v>292</v>
      </c>
      <c r="E45" s="4" t="s">
        <v>291</v>
      </c>
      <c r="F45" s="4" t="s">
        <v>74</v>
      </c>
      <c r="G45" s="4"/>
      <c r="H45" s="4" t="s">
        <v>75</v>
      </c>
      <c r="I45" s="4" t="s">
        <v>76</v>
      </c>
      <c r="J45" s="4"/>
      <c r="K45" s="4"/>
    </row>
  </sheetData>
  <mergeCells count="13">
    <mergeCell ref="A1:K1"/>
    <mergeCell ref="B37:K37"/>
    <mergeCell ref="A2:K2"/>
    <mergeCell ref="B43:K43"/>
    <mergeCell ref="B12:K12"/>
    <mergeCell ref="B16:K16"/>
    <mergeCell ref="B20:K20"/>
    <mergeCell ref="B23:K23"/>
    <mergeCell ref="B8:K8"/>
    <mergeCell ref="B34:K34"/>
    <mergeCell ref="B40:K40"/>
    <mergeCell ref="B27:K27"/>
    <mergeCell ref="B30:K30"/>
  </mergeCells>
  <dataValidations count="2">
    <dataValidation type="list" allowBlank="1" sqref="H8:H45" xr:uid="{00000000-0002-0000-0500-000000000000}">
      <formula1>"Pending,Conformant,Minor NC,Major NC,OFI,N/A"</formula1>
    </dataValidation>
    <dataValidation type="list" allowBlank="1" sqref="I8:I45" xr:uid="{00000000-0002-0000-05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5"/>
  <sheetViews>
    <sheetView workbookViewId="0">
      <pane ySplit="7" topLeftCell="A8" activePane="bottomLeft" state="frozen"/>
      <selection sqref="A1:K1"/>
      <selection pane="bottomLeft" sqref="A1:K1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55" customWidth="1"/>
    <col min="5" max="7" width="38" customWidth="1"/>
    <col min="8" max="9" width="14" customWidth="1"/>
    <col min="10" max="11" width="16" customWidth="1"/>
  </cols>
  <sheetData>
    <row r="1" spans="1:11" ht="18" x14ac:dyDescent="0.25">
      <c r="A1" s="33" t="s">
        <v>293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8" t="s">
        <v>294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25">
      <c r="A4" s="6" t="s">
        <v>49</v>
      </c>
      <c r="C4" s="6" t="s">
        <v>50</v>
      </c>
      <c r="F4" s="6" t="s">
        <v>51</v>
      </c>
      <c r="I4" s="6" t="s">
        <v>52</v>
      </c>
      <c r="K4" s="6" t="s">
        <v>53</v>
      </c>
    </row>
    <row r="5" spans="1:11" ht="18" customHeight="1" x14ac:dyDescent="0.25">
      <c r="A5" s="6" t="s">
        <v>54</v>
      </c>
      <c r="C5" s="6" t="s">
        <v>55</v>
      </c>
      <c r="D5" t="s">
        <v>56</v>
      </c>
      <c r="F5" s="6" t="s">
        <v>57</v>
      </c>
      <c r="K5" s="7">
        <f>IFERROR(COUNTIF(H8:H35,"Conformant")/(COUNTA(H8:H35)-COUNTIF(H8:H35,"Pending")-COUNTIF(H8:H35,"N/A")),0)</f>
        <v>0</v>
      </c>
    </row>
    <row r="7" spans="1:11" ht="27.95" customHeight="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8" t="s">
        <v>114</v>
      </c>
      <c r="B8" s="20" t="s">
        <v>115</v>
      </c>
      <c r="C8" s="21"/>
      <c r="D8" s="21"/>
      <c r="E8" s="21"/>
      <c r="F8" s="21"/>
      <c r="G8" s="21"/>
      <c r="H8" s="21"/>
      <c r="I8" s="21"/>
      <c r="J8" s="21"/>
      <c r="K8" s="22"/>
    </row>
    <row r="9" spans="1:11" ht="60" customHeight="1" x14ac:dyDescent="0.25">
      <c r="A9" s="4" t="s">
        <v>114</v>
      </c>
      <c r="B9" s="4" t="s">
        <v>115</v>
      </c>
      <c r="C9" s="9" t="s">
        <v>71</v>
      </c>
      <c r="D9" s="4" t="s">
        <v>116</v>
      </c>
      <c r="E9" s="4" t="s">
        <v>295</v>
      </c>
      <c r="F9" s="4" t="s">
        <v>74</v>
      </c>
      <c r="G9" s="4"/>
      <c r="H9" s="4" t="s">
        <v>75</v>
      </c>
      <c r="I9" s="4" t="s">
        <v>76</v>
      </c>
      <c r="J9" s="4"/>
      <c r="K9" s="4"/>
    </row>
    <row r="10" spans="1:11" ht="60" customHeight="1" x14ac:dyDescent="0.25">
      <c r="A10" s="4" t="s">
        <v>114</v>
      </c>
      <c r="B10" s="4" t="s">
        <v>115</v>
      </c>
      <c r="C10" s="9" t="s">
        <v>71</v>
      </c>
      <c r="D10" s="4" t="s">
        <v>118</v>
      </c>
      <c r="E10" s="4" t="s">
        <v>295</v>
      </c>
      <c r="F10" s="4" t="s">
        <v>74</v>
      </c>
      <c r="G10" s="4"/>
      <c r="H10" s="4" t="s">
        <v>75</v>
      </c>
      <c r="I10" s="4" t="s">
        <v>76</v>
      </c>
      <c r="J10" s="4"/>
      <c r="K10" s="4"/>
    </row>
    <row r="11" spans="1:11" ht="60" customHeight="1" x14ac:dyDescent="0.25">
      <c r="A11" s="4" t="s">
        <v>114</v>
      </c>
      <c r="B11" s="4" t="s">
        <v>115</v>
      </c>
      <c r="C11" s="10" t="s">
        <v>78</v>
      </c>
      <c r="D11" s="4" t="s">
        <v>296</v>
      </c>
      <c r="E11" s="4" t="s">
        <v>295</v>
      </c>
      <c r="F11" s="4" t="s">
        <v>74</v>
      </c>
      <c r="G11" s="4"/>
      <c r="H11" s="4" t="s">
        <v>75</v>
      </c>
      <c r="I11" s="4" t="s">
        <v>76</v>
      </c>
      <c r="J11" s="4"/>
      <c r="K11" s="4"/>
    </row>
    <row r="12" spans="1:11" x14ac:dyDescent="0.25">
      <c r="A12" s="8" t="s">
        <v>126</v>
      </c>
      <c r="B12" s="20" t="s">
        <v>127</v>
      </c>
      <c r="C12" s="21"/>
      <c r="D12" s="21"/>
      <c r="E12" s="21"/>
      <c r="F12" s="21"/>
      <c r="G12" s="21"/>
      <c r="H12" s="21"/>
      <c r="I12" s="21"/>
      <c r="J12" s="21"/>
      <c r="K12" s="22"/>
    </row>
    <row r="13" spans="1:11" ht="60" customHeight="1" x14ac:dyDescent="0.25">
      <c r="A13" s="4" t="s">
        <v>126</v>
      </c>
      <c r="B13" s="4" t="s">
        <v>127</v>
      </c>
      <c r="C13" s="9" t="s">
        <v>71</v>
      </c>
      <c r="D13" s="4" t="s">
        <v>128</v>
      </c>
      <c r="E13" s="4" t="s">
        <v>297</v>
      </c>
      <c r="F13" s="4" t="s">
        <v>74</v>
      </c>
      <c r="G13" s="4"/>
      <c r="H13" s="4" t="s">
        <v>75</v>
      </c>
      <c r="I13" s="4" t="s">
        <v>76</v>
      </c>
      <c r="J13" s="4"/>
      <c r="K13" s="4"/>
    </row>
    <row r="14" spans="1:11" ht="60" customHeight="1" x14ac:dyDescent="0.25">
      <c r="A14" s="4" t="s">
        <v>126</v>
      </c>
      <c r="B14" s="4" t="s">
        <v>127</v>
      </c>
      <c r="C14" s="10" t="s">
        <v>78</v>
      </c>
      <c r="D14" s="4" t="s">
        <v>298</v>
      </c>
      <c r="E14" s="4" t="s">
        <v>297</v>
      </c>
      <c r="F14" s="4" t="s">
        <v>74</v>
      </c>
      <c r="G14" s="4"/>
      <c r="H14" s="4" t="s">
        <v>75</v>
      </c>
      <c r="I14" s="4" t="s">
        <v>76</v>
      </c>
      <c r="J14" s="4"/>
      <c r="K14" s="4"/>
    </row>
    <row r="15" spans="1:11" x14ac:dyDescent="0.25">
      <c r="A15" s="8" t="s">
        <v>164</v>
      </c>
      <c r="B15" s="20" t="s">
        <v>165</v>
      </c>
      <c r="C15" s="21"/>
      <c r="D15" s="21"/>
      <c r="E15" s="21"/>
      <c r="F15" s="21"/>
      <c r="G15" s="21"/>
      <c r="H15" s="21"/>
      <c r="I15" s="21"/>
      <c r="J15" s="21"/>
      <c r="K15" s="22"/>
    </row>
    <row r="16" spans="1:11" ht="60" customHeight="1" x14ac:dyDescent="0.25">
      <c r="A16" s="4" t="s">
        <v>164</v>
      </c>
      <c r="B16" s="4" t="s">
        <v>165</v>
      </c>
      <c r="C16" s="9" t="s">
        <v>71</v>
      </c>
      <c r="D16" s="4" t="s">
        <v>166</v>
      </c>
      <c r="E16" s="4" t="s">
        <v>299</v>
      </c>
      <c r="F16" s="4" t="s">
        <v>74</v>
      </c>
      <c r="G16" s="4"/>
      <c r="H16" s="4" t="s">
        <v>75</v>
      </c>
      <c r="I16" s="4" t="s">
        <v>76</v>
      </c>
      <c r="J16" s="4"/>
      <c r="K16" s="4"/>
    </row>
    <row r="17" spans="1:11" ht="60" customHeight="1" x14ac:dyDescent="0.25">
      <c r="A17" s="4" t="s">
        <v>164</v>
      </c>
      <c r="B17" s="4" t="s">
        <v>165</v>
      </c>
      <c r="C17" s="10" t="s">
        <v>78</v>
      </c>
      <c r="D17" s="4" t="s">
        <v>300</v>
      </c>
      <c r="E17" s="4" t="s">
        <v>299</v>
      </c>
      <c r="F17" s="4" t="s">
        <v>74</v>
      </c>
      <c r="G17" s="4"/>
      <c r="H17" s="4" t="s">
        <v>75</v>
      </c>
      <c r="I17" s="4" t="s">
        <v>76</v>
      </c>
      <c r="J17" s="4"/>
      <c r="K17" s="4"/>
    </row>
    <row r="18" spans="1:11" x14ac:dyDescent="0.25">
      <c r="A18" s="8" t="s">
        <v>169</v>
      </c>
      <c r="B18" s="20" t="s">
        <v>170</v>
      </c>
      <c r="C18" s="21"/>
      <c r="D18" s="21"/>
      <c r="E18" s="21"/>
      <c r="F18" s="21"/>
      <c r="G18" s="21"/>
      <c r="H18" s="21"/>
      <c r="I18" s="21"/>
      <c r="J18" s="21"/>
      <c r="K18" s="22"/>
    </row>
    <row r="19" spans="1:11" ht="60" customHeight="1" x14ac:dyDescent="0.25">
      <c r="A19" s="4" t="s">
        <v>169</v>
      </c>
      <c r="B19" s="4" t="s">
        <v>170</v>
      </c>
      <c r="C19" s="9" t="s">
        <v>71</v>
      </c>
      <c r="D19" s="4" t="s">
        <v>171</v>
      </c>
      <c r="E19" s="4" t="s">
        <v>301</v>
      </c>
      <c r="F19" s="4" t="s">
        <v>74</v>
      </c>
      <c r="G19" s="4"/>
      <c r="H19" s="4" t="s">
        <v>75</v>
      </c>
      <c r="I19" s="4" t="s">
        <v>76</v>
      </c>
      <c r="J19" s="4"/>
      <c r="K19" s="4"/>
    </row>
    <row r="20" spans="1:11" ht="60" customHeight="1" x14ac:dyDescent="0.25">
      <c r="A20" s="4" t="s">
        <v>169</v>
      </c>
      <c r="B20" s="4" t="s">
        <v>170</v>
      </c>
      <c r="C20" s="9" t="s">
        <v>71</v>
      </c>
      <c r="D20" s="4" t="s">
        <v>173</v>
      </c>
      <c r="E20" s="4" t="s">
        <v>301</v>
      </c>
      <c r="F20" s="4" t="s">
        <v>74</v>
      </c>
      <c r="G20" s="4"/>
      <c r="H20" s="4" t="s">
        <v>75</v>
      </c>
      <c r="I20" s="4" t="s">
        <v>76</v>
      </c>
      <c r="J20" s="4"/>
      <c r="K20" s="4"/>
    </row>
    <row r="21" spans="1:11" ht="60" customHeight="1" x14ac:dyDescent="0.25">
      <c r="A21" s="4" t="s">
        <v>169</v>
      </c>
      <c r="B21" s="4" t="s">
        <v>170</v>
      </c>
      <c r="C21" s="10" t="s">
        <v>78</v>
      </c>
      <c r="D21" s="4" t="s">
        <v>302</v>
      </c>
      <c r="E21" s="4" t="s">
        <v>301</v>
      </c>
      <c r="F21" s="4" t="s">
        <v>74</v>
      </c>
      <c r="G21" s="4"/>
      <c r="H21" s="4" t="s">
        <v>75</v>
      </c>
      <c r="I21" s="4" t="s">
        <v>76</v>
      </c>
      <c r="J21" s="4"/>
      <c r="K21" s="4"/>
    </row>
    <row r="22" spans="1:11" x14ac:dyDescent="0.25">
      <c r="A22" s="8" t="s">
        <v>303</v>
      </c>
      <c r="B22" s="20" t="s">
        <v>304</v>
      </c>
      <c r="C22" s="21"/>
      <c r="D22" s="21"/>
      <c r="E22" s="21"/>
      <c r="F22" s="21"/>
      <c r="G22" s="21"/>
      <c r="H22" s="21"/>
      <c r="I22" s="21"/>
      <c r="J22" s="21"/>
      <c r="K22" s="22"/>
    </row>
    <row r="23" spans="1:11" ht="60" customHeight="1" x14ac:dyDescent="0.25">
      <c r="A23" s="4" t="s">
        <v>303</v>
      </c>
      <c r="B23" s="4" t="s">
        <v>304</v>
      </c>
      <c r="C23" s="9" t="s">
        <v>71</v>
      </c>
      <c r="D23" s="4" t="s">
        <v>305</v>
      </c>
      <c r="E23" s="4" t="s">
        <v>306</v>
      </c>
      <c r="F23" s="4" t="s">
        <v>74</v>
      </c>
      <c r="G23" s="4"/>
      <c r="H23" s="4" t="s">
        <v>75</v>
      </c>
      <c r="I23" s="4" t="s">
        <v>76</v>
      </c>
      <c r="J23" s="4"/>
      <c r="K23" s="4"/>
    </row>
    <row r="24" spans="1:11" ht="60" customHeight="1" x14ac:dyDescent="0.25">
      <c r="A24" s="4" t="s">
        <v>303</v>
      </c>
      <c r="B24" s="4" t="s">
        <v>304</v>
      </c>
      <c r="C24" s="10" t="s">
        <v>78</v>
      </c>
      <c r="D24" s="4" t="s">
        <v>307</v>
      </c>
      <c r="E24" s="4" t="s">
        <v>306</v>
      </c>
      <c r="F24" s="4" t="s">
        <v>74</v>
      </c>
      <c r="G24" s="4"/>
      <c r="H24" s="4" t="s">
        <v>75</v>
      </c>
      <c r="I24" s="4" t="s">
        <v>76</v>
      </c>
      <c r="J24" s="4"/>
      <c r="K24" s="4"/>
    </row>
    <row r="25" spans="1:11" ht="60" customHeight="1" x14ac:dyDescent="0.25">
      <c r="A25" s="4" t="s">
        <v>303</v>
      </c>
      <c r="B25" s="4" t="s">
        <v>304</v>
      </c>
      <c r="C25" s="10" t="s">
        <v>78</v>
      </c>
      <c r="D25" s="4" t="s">
        <v>308</v>
      </c>
      <c r="E25" s="4" t="s">
        <v>306</v>
      </c>
      <c r="F25" s="4" t="s">
        <v>74</v>
      </c>
      <c r="G25" s="4"/>
      <c r="H25" s="4" t="s">
        <v>75</v>
      </c>
      <c r="I25" s="4" t="s">
        <v>76</v>
      </c>
      <c r="J25" s="4"/>
      <c r="K25" s="4"/>
    </row>
    <row r="26" spans="1:11" ht="60" customHeight="1" x14ac:dyDescent="0.25">
      <c r="A26" s="4" t="s">
        <v>303</v>
      </c>
      <c r="B26" s="4" t="s">
        <v>304</v>
      </c>
      <c r="C26" s="10" t="s">
        <v>78</v>
      </c>
      <c r="D26" s="4" t="s">
        <v>309</v>
      </c>
      <c r="E26" s="4" t="s">
        <v>306</v>
      </c>
      <c r="F26" s="4" t="s">
        <v>74</v>
      </c>
      <c r="G26" s="4"/>
      <c r="H26" s="4" t="s">
        <v>75</v>
      </c>
      <c r="I26" s="4" t="s">
        <v>76</v>
      </c>
      <c r="J26" s="4"/>
      <c r="K26" s="4"/>
    </row>
    <row r="27" spans="1:11" x14ac:dyDescent="0.25">
      <c r="A27" s="8" t="s">
        <v>180</v>
      </c>
      <c r="B27" s="20" t="s">
        <v>181</v>
      </c>
      <c r="C27" s="21"/>
      <c r="D27" s="21"/>
      <c r="E27" s="21"/>
      <c r="F27" s="21"/>
      <c r="G27" s="21"/>
      <c r="H27" s="21"/>
      <c r="I27" s="21"/>
      <c r="J27" s="21"/>
      <c r="K27" s="22"/>
    </row>
    <row r="28" spans="1:11" ht="60" customHeight="1" x14ac:dyDescent="0.25">
      <c r="A28" s="4" t="s">
        <v>180</v>
      </c>
      <c r="B28" s="4" t="s">
        <v>181</v>
      </c>
      <c r="C28" s="9" t="s">
        <v>71</v>
      </c>
      <c r="D28" s="4" t="s">
        <v>182</v>
      </c>
      <c r="E28" s="4" t="s">
        <v>310</v>
      </c>
      <c r="F28" s="4" t="s">
        <v>74</v>
      </c>
      <c r="G28" s="4"/>
      <c r="H28" s="4" t="s">
        <v>75</v>
      </c>
      <c r="I28" s="4" t="s">
        <v>76</v>
      </c>
      <c r="J28" s="4"/>
      <c r="K28" s="4"/>
    </row>
    <row r="29" spans="1:11" ht="60" customHeight="1" x14ac:dyDescent="0.25">
      <c r="A29" s="4" t="s">
        <v>180</v>
      </c>
      <c r="B29" s="4" t="s">
        <v>181</v>
      </c>
      <c r="C29" s="10" t="s">
        <v>78</v>
      </c>
      <c r="D29" s="4" t="s">
        <v>311</v>
      </c>
      <c r="E29" s="4" t="s">
        <v>310</v>
      </c>
      <c r="F29" s="4" t="s">
        <v>74</v>
      </c>
      <c r="G29" s="4"/>
      <c r="H29" s="4" t="s">
        <v>75</v>
      </c>
      <c r="I29" s="4" t="s">
        <v>76</v>
      </c>
      <c r="J29" s="4"/>
      <c r="K29" s="4"/>
    </row>
    <row r="30" spans="1:11" x14ac:dyDescent="0.25">
      <c r="A30" s="8" t="s">
        <v>202</v>
      </c>
      <c r="B30" s="20" t="s">
        <v>203</v>
      </c>
      <c r="C30" s="21"/>
      <c r="D30" s="21"/>
      <c r="E30" s="21"/>
      <c r="F30" s="21"/>
      <c r="G30" s="21"/>
      <c r="H30" s="21"/>
      <c r="I30" s="21"/>
      <c r="J30" s="21"/>
      <c r="K30" s="22"/>
    </row>
    <row r="31" spans="1:11" ht="60" customHeight="1" x14ac:dyDescent="0.25">
      <c r="A31" s="4" t="s">
        <v>202</v>
      </c>
      <c r="B31" s="4" t="s">
        <v>203</v>
      </c>
      <c r="C31" s="9" t="s">
        <v>71</v>
      </c>
      <c r="D31" s="4" t="s">
        <v>204</v>
      </c>
      <c r="E31" s="4" t="s">
        <v>312</v>
      </c>
      <c r="F31" s="4" t="s">
        <v>74</v>
      </c>
      <c r="G31" s="4"/>
      <c r="H31" s="4" t="s">
        <v>75</v>
      </c>
      <c r="I31" s="4" t="s">
        <v>76</v>
      </c>
      <c r="J31" s="4"/>
      <c r="K31" s="4"/>
    </row>
    <row r="32" spans="1:11" ht="60" customHeight="1" x14ac:dyDescent="0.25">
      <c r="A32" s="4" t="s">
        <v>202</v>
      </c>
      <c r="B32" s="4" t="s">
        <v>203</v>
      </c>
      <c r="C32" s="10" t="s">
        <v>78</v>
      </c>
      <c r="D32" s="4" t="s">
        <v>313</v>
      </c>
      <c r="E32" s="4" t="s">
        <v>312</v>
      </c>
      <c r="F32" s="4" t="s">
        <v>74</v>
      </c>
      <c r="G32" s="4"/>
      <c r="H32" s="4" t="s">
        <v>75</v>
      </c>
      <c r="I32" s="4" t="s">
        <v>76</v>
      </c>
      <c r="J32" s="4"/>
      <c r="K32" s="4"/>
    </row>
    <row r="33" spans="1:11" x14ac:dyDescent="0.25">
      <c r="A33" s="8" t="s">
        <v>207</v>
      </c>
      <c r="B33" s="20" t="s">
        <v>208</v>
      </c>
      <c r="C33" s="21"/>
      <c r="D33" s="21"/>
      <c r="E33" s="21"/>
      <c r="F33" s="21"/>
      <c r="G33" s="21"/>
      <c r="H33" s="21"/>
      <c r="I33" s="21"/>
      <c r="J33" s="21"/>
      <c r="K33" s="22"/>
    </row>
    <row r="34" spans="1:11" ht="60" customHeight="1" x14ac:dyDescent="0.25">
      <c r="A34" s="4" t="s">
        <v>207</v>
      </c>
      <c r="B34" s="4" t="s">
        <v>208</v>
      </c>
      <c r="C34" s="9" t="s">
        <v>71</v>
      </c>
      <c r="D34" s="4" t="s">
        <v>209</v>
      </c>
      <c r="E34" s="4" t="s">
        <v>314</v>
      </c>
      <c r="F34" s="4" t="s">
        <v>74</v>
      </c>
      <c r="G34" s="4"/>
      <c r="H34" s="4" t="s">
        <v>75</v>
      </c>
      <c r="I34" s="4" t="s">
        <v>76</v>
      </c>
      <c r="J34" s="4"/>
      <c r="K34" s="4"/>
    </row>
    <row r="35" spans="1:11" ht="60" customHeight="1" x14ac:dyDescent="0.25">
      <c r="A35" s="4" t="s">
        <v>207</v>
      </c>
      <c r="B35" s="4" t="s">
        <v>208</v>
      </c>
      <c r="C35" s="10" t="s">
        <v>78</v>
      </c>
      <c r="D35" s="4" t="s">
        <v>315</v>
      </c>
      <c r="E35" s="4" t="s">
        <v>314</v>
      </c>
      <c r="F35" s="4" t="s">
        <v>74</v>
      </c>
      <c r="G35" s="4"/>
      <c r="H35" s="4" t="s">
        <v>75</v>
      </c>
      <c r="I35" s="4" t="s">
        <v>76</v>
      </c>
      <c r="J35" s="4"/>
      <c r="K35" s="4"/>
    </row>
  </sheetData>
  <mergeCells count="10">
    <mergeCell ref="A2:K2"/>
    <mergeCell ref="B12:K12"/>
    <mergeCell ref="B15:K15"/>
    <mergeCell ref="B33:K33"/>
    <mergeCell ref="A1:K1"/>
    <mergeCell ref="B22:K22"/>
    <mergeCell ref="B8:K8"/>
    <mergeCell ref="B18:K18"/>
    <mergeCell ref="B27:K27"/>
    <mergeCell ref="B30:K30"/>
  </mergeCells>
  <dataValidations count="2">
    <dataValidation type="list" allowBlank="1" sqref="H8:H35" xr:uid="{00000000-0002-0000-0600-000000000000}">
      <formula1>"Pending,Conformant,Minor NC,Major NC,OFI,N/A"</formula1>
    </dataValidation>
    <dataValidation type="list" allowBlank="1" sqref="I8:I35" xr:uid="{00000000-0002-0000-06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3"/>
  <sheetViews>
    <sheetView workbookViewId="0">
      <pane ySplit="7" topLeftCell="A8" activePane="bottomLeft" state="frozen"/>
      <selection sqref="A1:K1"/>
      <selection pane="bottomLeft" sqref="A1:K1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55" customWidth="1"/>
    <col min="5" max="7" width="38" customWidth="1"/>
    <col min="8" max="9" width="14" customWidth="1"/>
    <col min="10" max="11" width="16" customWidth="1"/>
  </cols>
  <sheetData>
    <row r="1" spans="1:11" ht="18" x14ac:dyDescent="0.25">
      <c r="A1" s="33" t="s">
        <v>316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8" t="s">
        <v>317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25">
      <c r="A4" s="6" t="s">
        <v>49</v>
      </c>
      <c r="C4" s="6" t="s">
        <v>50</v>
      </c>
      <c r="F4" s="6" t="s">
        <v>51</v>
      </c>
      <c r="I4" s="6" t="s">
        <v>52</v>
      </c>
      <c r="K4" s="6" t="s">
        <v>53</v>
      </c>
    </row>
    <row r="5" spans="1:11" ht="18" customHeight="1" x14ac:dyDescent="0.25">
      <c r="A5" s="6" t="s">
        <v>54</v>
      </c>
      <c r="C5" s="6" t="s">
        <v>55</v>
      </c>
      <c r="D5" t="s">
        <v>56</v>
      </c>
      <c r="F5" s="6" t="s">
        <v>57</v>
      </c>
      <c r="K5" s="7">
        <f>IFERROR(COUNTIF(H8:H43,"Conformant")/(COUNTA(H8:H43)-COUNTIF(H8:H43,"Pending")-COUNTIF(H8:H43,"N/A")),0)</f>
        <v>0</v>
      </c>
    </row>
    <row r="7" spans="1:11" ht="27.95" customHeight="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8" t="s">
        <v>114</v>
      </c>
      <c r="B8" s="20" t="s">
        <v>115</v>
      </c>
      <c r="C8" s="21"/>
      <c r="D8" s="21"/>
      <c r="E8" s="21"/>
      <c r="F8" s="21"/>
      <c r="G8" s="21"/>
      <c r="H8" s="21"/>
      <c r="I8" s="21"/>
      <c r="J8" s="21"/>
      <c r="K8" s="22"/>
    </row>
    <row r="9" spans="1:11" ht="60" customHeight="1" x14ac:dyDescent="0.25">
      <c r="A9" s="4" t="s">
        <v>114</v>
      </c>
      <c r="B9" s="4" t="s">
        <v>115</v>
      </c>
      <c r="C9" s="9" t="s">
        <v>71</v>
      </c>
      <c r="D9" s="4" t="s">
        <v>116</v>
      </c>
      <c r="E9" s="4" t="s">
        <v>318</v>
      </c>
      <c r="F9" s="4" t="s">
        <v>74</v>
      </c>
      <c r="G9" s="4"/>
      <c r="H9" s="4" t="s">
        <v>75</v>
      </c>
      <c r="I9" s="4" t="s">
        <v>76</v>
      </c>
      <c r="J9" s="4"/>
      <c r="K9" s="4"/>
    </row>
    <row r="10" spans="1:11" ht="60" customHeight="1" x14ac:dyDescent="0.25">
      <c r="A10" s="4" t="s">
        <v>114</v>
      </c>
      <c r="B10" s="4" t="s">
        <v>115</v>
      </c>
      <c r="C10" s="9" t="s">
        <v>71</v>
      </c>
      <c r="D10" s="4" t="s">
        <v>118</v>
      </c>
      <c r="E10" s="4" t="s">
        <v>318</v>
      </c>
      <c r="F10" s="4" t="s">
        <v>74</v>
      </c>
      <c r="G10" s="4"/>
      <c r="H10" s="4" t="s">
        <v>75</v>
      </c>
      <c r="I10" s="4" t="s">
        <v>76</v>
      </c>
      <c r="J10" s="4"/>
      <c r="K10" s="4"/>
    </row>
    <row r="11" spans="1:11" ht="60" customHeight="1" x14ac:dyDescent="0.25">
      <c r="A11" s="4" t="s">
        <v>114</v>
      </c>
      <c r="B11" s="4" t="s">
        <v>115</v>
      </c>
      <c r="C11" s="10" t="s">
        <v>78</v>
      </c>
      <c r="D11" s="4" t="s">
        <v>319</v>
      </c>
      <c r="E11" s="4" t="s">
        <v>318</v>
      </c>
      <c r="F11" s="4" t="s">
        <v>74</v>
      </c>
      <c r="G11" s="4"/>
      <c r="H11" s="4" t="s">
        <v>75</v>
      </c>
      <c r="I11" s="4" t="s">
        <v>76</v>
      </c>
      <c r="J11" s="4"/>
      <c r="K11" s="4"/>
    </row>
    <row r="12" spans="1:11" x14ac:dyDescent="0.25">
      <c r="A12" s="8" t="s">
        <v>131</v>
      </c>
      <c r="B12" s="20" t="s">
        <v>132</v>
      </c>
      <c r="C12" s="21"/>
      <c r="D12" s="21"/>
      <c r="E12" s="21"/>
      <c r="F12" s="21"/>
      <c r="G12" s="21"/>
      <c r="H12" s="21"/>
      <c r="I12" s="21"/>
      <c r="J12" s="21"/>
      <c r="K12" s="22"/>
    </row>
    <row r="13" spans="1:11" ht="60" customHeight="1" x14ac:dyDescent="0.25">
      <c r="A13" s="4" t="s">
        <v>131</v>
      </c>
      <c r="B13" s="4" t="s">
        <v>132</v>
      </c>
      <c r="C13" s="9" t="s">
        <v>71</v>
      </c>
      <c r="D13" s="4" t="s">
        <v>133</v>
      </c>
      <c r="E13" s="4" t="s">
        <v>320</v>
      </c>
      <c r="F13" s="4" t="s">
        <v>74</v>
      </c>
      <c r="G13" s="4"/>
      <c r="H13" s="4" t="s">
        <v>75</v>
      </c>
      <c r="I13" s="4" t="s">
        <v>76</v>
      </c>
      <c r="J13" s="4"/>
      <c r="K13" s="4"/>
    </row>
    <row r="14" spans="1:11" ht="60" customHeight="1" x14ac:dyDescent="0.25">
      <c r="A14" s="4" t="s">
        <v>131</v>
      </c>
      <c r="B14" s="4" t="s">
        <v>132</v>
      </c>
      <c r="C14" s="10" t="s">
        <v>78</v>
      </c>
      <c r="D14" s="4" t="s">
        <v>321</v>
      </c>
      <c r="E14" s="4" t="s">
        <v>320</v>
      </c>
      <c r="F14" s="4" t="s">
        <v>74</v>
      </c>
      <c r="G14" s="4"/>
      <c r="H14" s="4" t="s">
        <v>75</v>
      </c>
      <c r="I14" s="4" t="s">
        <v>76</v>
      </c>
      <c r="J14" s="4"/>
      <c r="K14" s="4"/>
    </row>
    <row r="15" spans="1:11" x14ac:dyDescent="0.25">
      <c r="A15" s="8" t="s">
        <v>164</v>
      </c>
      <c r="B15" s="20" t="s">
        <v>165</v>
      </c>
      <c r="C15" s="21"/>
      <c r="D15" s="21"/>
      <c r="E15" s="21"/>
      <c r="F15" s="21"/>
      <c r="G15" s="21"/>
      <c r="H15" s="21"/>
      <c r="I15" s="21"/>
      <c r="J15" s="21"/>
      <c r="K15" s="22"/>
    </row>
    <row r="16" spans="1:11" ht="60" customHeight="1" x14ac:dyDescent="0.25">
      <c r="A16" s="4" t="s">
        <v>164</v>
      </c>
      <c r="B16" s="4" t="s">
        <v>165</v>
      </c>
      <c r="C16" s="9" t="s">
        <v>71</v>
      </c>
      <c r="D16" s="4" t="s">
        <v>166</v>
      </c>
      <c r="E16" s="4" t="s">
        <v>322</v>
      </c>
      <c r="F16" s="4" t="s">
        <v>74</v>
      </c>
      <c r="G16" s="4"/>
      <c r="H16" s="4" t="s">
        <v>75</v>
      </c>
      <c r="I16" s="4" t="s">
        <v>76</v>
      </c>
      <c r="J16" s="4"/>
      <c r="K16" s="4"/>
    </row>
    <row r="17" spans="1:11" ht="60" customHeight="1" x14ac:dyDescent="0.25">
      <c r="A17" s="4" t="s">
        <v>164</v>
      </c>
      <c r="B17" s="4" t="s">
        <v>165</v>
      </c>
      <c r="C17" s="10" t="s">
        <v>78</v>
      </c>
      <c r="D17" s="4" t="s">
        <v>323</v>
      </c>
      <c r="E17" s="4" t="s">
        <v>322</v>
      </c>
      <c r="F17" s="4" t="s">
        <v>74</v>
      </c>
      <c r="G17" s="4"/>
      <c r="H17" s="4" t="s">
        <v>75</v>
      </c>
      <c r="I17" s="4" t="s">
        <v>76</v>
      </c>
      <c r="J17" s="4"/>
      <c r="K17" s="4"/>
    </row>
    <row r="18" spans="1:11" x14ac:dyDescent="0.25">
      <c r="A18" s="8" t="s">
        <v>169</v>
      </c>
      <c r="B18" s="20" t="s">
        <v>170</v>
      </c>
      <c r="C18" s="21"/>
      <c r="D18" s="21"/>
      <c r="E18" s="21"/>
      <c r="F18" s="21"/>
      <c r="G18" s="21"/>
      <c r="H18" s="21"/>
      <c r="I18" s="21"/>
      <c r="J18" s="21"/>
      <c r="K18" s="22"/>
    </row>
    <row r="19" spans="1:11" ht="60" customHeight="1" x14ac:dyDescent="0.25">
      <c r="A19" s="4" t="s">
        <v>169</v>
      </c>
      <c r="B19" s="4" t="s">
        <v>170</v>
      </c>
      <c r="C19" s="9" t="s">
        <v>71</v>
      </c>
      <c r="D19" s="4" t="s">
        <v>171</v>
      </c>
      <c r="E19" s="4" t="s">
        <v>324</v>
      </c>
      <c r="F19" s="4" t="s">
        <v>74</v>
      </c>
      <c r="G19" s="4"/>
      <c r="H19" s="4" t="s">
        <v>75</v>
      </c>
      <c r="I19" s="4" t="s">
        <v>76</v>
      </c>
      <c r="J19" s="4"/>
      <c r="K19" s="4"/>
    </row>
    <row r="20" spans="1:11" ht="60" customHeight="1" x14ac:dyDescent="0.25">
      <c r="A20" s="4" t="s">
        <v>169</v>
      </c>
      <c r="B20" s="4" t="s">
        <v>170</v>
      </c>
      <c r="C20" s="9" t="s">
        <v>71</v>
      </c>
      <c r="D20" s="4" t="s">
        <v>173</v>
      </c>
      <c r="E20" s="4" t="s">
        <v>324</v>
      </c>
      <c r="F20" s="4" t="s">
        <v>74</v>
      </c>
      <c r="G20" s="4"/>
      <c r="H20" s="4" t="s">
        <v>75</v>
      </c>
      <c r="I20" s="4" t="s">
        <v>76</v>
      </c>
      <c r="J20" s="4"/>
      <c r="K20" s="4"/>
    </row>
    <row r="21" spans="1:11" ht="60" customHeight="1" x14ac:dyDescent="0.25">
      <c r="A21" s="4" t="s">
        <v>169</v>
      </c>
      <c r="B21" s="4" t="s">
        <v>170</v>
      </c>
      <c r="C21" s="10" t="s">
        <v>78</v>
      </c>
      <c r="D21" s="4" t="s">
        <v>325</v>
      </c>
      <c r="E21" s="4" t="s">
        <v>324</v>
      </c>
      <c r="F21" s="4" t="s">
        <v>74</v>
      </c>
      <c r="G21" s="4"/>
      <c r="H21" s="4" t="s">
        <v>75</v>
      </c>
      <c r="I21" s="4" t="s">
        <v>76</v>
      </c>
      <c r="J21" s="4"/>
      <c r="K21" s="4"/>
    </row>
    <row r="22" spans="1:11" x14ac:dyDescent="0.25">
      <c r="A22" s="8" t="s">
        <v>175</v>
      </c>
      <c r="B22" s="20" t="s">
        <v>176</v>
      </c>
      <c r="C22" s="21"/>
      <c r="D22" s="21"/>
      <c r="E22" s="21"/>
      <c r="F22" s="21"/>
      <c r="G22" s="21"/>
      <c r="H22" s="21"/>
      <c r="I22" s="21"/>
      <c r="J22" s="21"/>
      <c r="K22" s="22"/>
    </row>
    <row r="23" spans="1:11" ht="60" customHeight="1" x14ac:dyDescent="0.25">
      <c r="A23" s="4" t="s">
        <v>175</v>
      </c>
      <c r="B23" s="4" t="s">
        <v>176</v>
      </c>
      <c r="C23" s="9" t="s">
        <v>71</v>
      </c>
      <c r="D23" s="4" t="s">
        <v>177</v>
      </c>
      <c r="E23" s="4" t="s">
        <v>326</v>
      </c>
      <c r="F23" s="4" t="s">
        <v>74</v>
      </c>
      <c r="G23" s="4"/>
      <c r="H23" s="4" t="s">
        <v>75</v>
      </c>
      <c r="I23" s="4" t="s">
        <v>76</v>
      </c>
      <c r="J23" s="4"/>
      <c r="K23" s="4"/>
    </row>
    <row r="24" spans="1:11" ht="60" customHeight="1" x14ac:dyDescent="0.25">
      <c r="A24" s="4" t="s">
        <v>175</v>
      </c>
      <c r="B24" s="4" t="s">
        <v>176</v>
      </c>
      <c r="C24" s="10" t="s">
        <v>78</v>
      </c>
      <c r="D24" s="4" t="s">
        <v>327</v>
      </c>
      <c r="E24" s="4" t="s">
        <v>326</v>
      </c>
      <c r="F24" s="4" t="s">
        <v>74</v>
      </c>
      <c r="G24" s="4"/>
      <c r="H24" s="4" t="s">
        <v>75</v>
      </c>
      <c r="I24" s="4" t="s">
        <v>76</v>
      </c>
      <c r="J24" s="4"/>
      <c r="K24" s="4"/>
    </row>
    <row r="25" spans="1:11" x14ac:dyDescent="0.25">
      <c r="A25" s="8" t="s">
        <v>180</v>
      </c>
      <c r="B25" s="20" t="s">
        <v>181</v>
      </c>
      <c r="C25" s="21"/>
      <c r="D25" s="21"/>
      <c r="E25" s="21"/>
      <c r="F25" s="21"/>
      <c r="G25" s="21"/>
      <c r="H25" s="21"/>
      <c r="I25" s="21"/>
      <c r="J25" s="21"/>
      <c r="K25" s="22"/>
    </row>
    <row r="26" spans="1:11" ht="60" customHeight="1" x14ac:dyDescent="0.25">
      <c r="A26" s="4" t="s">
        <v>180</v>
      </c>
      <c r="B26" s="4" t="s">
        <v>181</v>
      </c>
      <c r="C26" s="9" t="s">
        <v>71</v>
      </c>
      <c r="D26" s="4" t="s">
        <v>182</v>
      </c>
      <c r="E26" s="4" t="s">
        <v>328</v>
      </c>
      <c r="F26" s="4" t="s">
        <v>74</v>
      </c>
      <c r="G26" s="4"/>
      <c r="H26" s="4" t="s">
        <v>75</v>
      </c>
      <c r="I26" s="4" t="s">
        <v>76</v>
      </c>
      <c r="J26" s="4"/>
      <c r="K26" s="4"/>
    </row>
    <row r="27" spans="1:11" ht="60" customHeight="1" x14ac:dyDescent="0.25">
      <c r="A27" s="4" t="s">
        <v>180</v>
      </c>
      <c r="B27" s="4" t="s">
        <v>181</v>
      </c>
      <c r="C27" s="10" t="s">
        <v>78</v>
      </c>
      <c r="D27" s="4" t="s">
        <v>329</v>
      </c>
      <c r="E27" s="4" t="s">
        <v>328</v>
      </c>
      <c r="F27" s="4" t="s">
        <v>74</v>
      </c>
      <c r="G27" s="4"/>
      <c r="H27" s="4" t="s">
        <v>75</v>
      </c>
      <c r="I27" s="4" t="s">
        <v>76</v>
      </c>
      <c r="J27" s="4"/>
      <c r="K27" s="4"/>
    </row>
    <row r="28" spans="1:11" x14ac:dyDescent="0.25">
      <c r="A28" s="8" t="s">
        <v>185</v>
      </c>
      <c r="B28" s="20" t="s">
        <v>186</v>
      </c>
      <c r="C28" s="21"/>
      <c r="D28" s="21"/>
      <c r="E28" s="21"/>
      <c r="F28" s="21"/>
      <c r="G28" s="21"/>
      <c r="H28" s="21"/>
      <c r="I28" s="21"/>
      <c r="J28" s="21"/>
      <c r="K28" s="22"/>
    </row>
    <row r="29" spans="1:11" ht="60" customHeight="1" x14ac:dyDescent="0.25">
      <c r="A29" s="4" t="s">
        <v>185</v>
      </c>
      <c r="B29" s="4" t="s">
        <v>186</v>
      </c>
      <c r="C29" s="9" t="s">
        <v>71</v>
      </c>
      <c r="D29" s="4" t="s">
        <v>187</v>
      </c>
      <c r="E29" s="4" t="s">
        <v>330</v>
      </c>
      <c r="F29" s="4" t="s">
        <v>74</v>
      </c>
      <c r="G29" s="4"/>
      <c r="H29" s="4" t="s">
        <v>75</v>
      </c>
      <c r="I29" s="4" t="s">
        <v>76</v>
      </c>
      <c r="J29" s="4"/>
      <c r="K29" s="4"/>
    </row>
    <row r="30" spans="1:11" ht="60" customHeight="1" x14ac:dyDescent="0.25">
      <c r="A30" s="4" t="s">
        <v>185</v>
      </c>
      <c r="B30" s="4" t="s">
        <v>186</v>
      </c>
      <c r="C30" s="10" t="s">
        <v>78</v>
      </c>
      <c r="D30" s="4" t="s">
        <v>331</v>
      </c>
      <c r="E30" s="4" t="s">
        <v>330</v>
      </c>
      <c r="F30" s="4" t="s">
        <v>74</v>
      </c>
      <c r="G30" s="4"/>
      <c r="H30" s="4" t="s">
        <v>75</v>
      </c>
      <c r="I30" s="4" t="s">
        <v>76</v>
      </c>
      <c r="J30" s="4"/>
      <c r="K30" s="4"/>
    </row>
    <row r="31" spans="1:11" ht="60" customHeight="1" x14ac:dyDescent="0.25">
      <c r="A31" s="4" t="s">
        <v>185</v>
      </c>
      <c r="B31" s="4" t="s">
        <v>186</v>
      </c>
      <c r="C31" s="10" t="s">
        <v>78</v>
      </c>
      <c r="D31" s="4" t="s">
        <v>332</v>
      </c>
      <c r="E31" s="4" t="s">
        <v>330</v>
      </c>
      <c r="F31" s="4" t="s">
        <v>74</v>
      </c>
      <c r="G31" s="4"/>
      <c r="H31" s="4" t="s">
        <v>75</v>
      </c>
      <c r="I31" s="4" t="s">
        <v>76</v>
      </c>
      <c r="J31" s="4"/>
      <c r="K31" s="4"/>
    </row>
    <row r="32" spans="1:11" x14ac:dyDescent="0.25">
      <c r="A32" s="8" t="s">
        <v>191</v>
      </c>
      <c r="B32" s="20" t="s">
        <v>192</v>
      </c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60" customHeight="1" x14ac:dyDescent="0.25">
      <c r="A33" s="4" t="s">
        <v>191</v>
      </c>
      <c r="B33" s="4" t="s">
        <v>192</v>
      </c>
      <c r="C33" s="9" t="s">
        <v>71</v>
      </c>
      <c r="D33" s="4" t="s">
        <v>193</v>
      </c>
      <c r="E33" s="4" t="s">
        <v>333</v>
      </c>
      <c r="F33" s="4" t="s">
        <v>74</v>
      </c>
      <c r="G33" s="4"/>
      <c r="H33" s="4" t="s">
        <v>75</v>
      </c>
      <c r="I33" s="4" t="s">
        <v>76</v>
      </c>
      <c r="J33" s="4"/>
      <c r="K33" s="4"/>
    </row>
    <row r="34" spans="1:11" ht="60" customHeight="1" x14ac:dyDescent="0.25">
      <c r="A34" s="4" t="s">
        <v>191</v>
      </c>
      <c r="B34" s="4" t="s">
        <v>192</v>
      </c>
      <c r="C34" s="10" t="s">
        <v>78</v>
      </c>
      <c r="D34" s="4" t="s">
        <v>334</v>
      </c>
      <c r="E34" s="4" t="s">
        <v>333</v>
      </c>
      <c r="F34" s="4" t="s">
        <v>74</v>
      </c>
      <c r="G34" s="4"/>
      <c r="H34" s="4" t="s">
        <v>75</v>
      </c>
      <c r="I34" s="4" t="s">
        <v>76</v>
      </c>
      <c r="J34" s="4"/>
      <c r="K34" s="4"/>
    </row>
    <row r="35" spans="1:11" x14ac:dyDescent="0.25">
      <c r="A35" s="8" t="s">
        <v>197</v>
      </c>
      <c r="B35" s="20" t="s">
        <v>198</v>
      </c>
      <c r="C35" s="21"/>
      <c r="D35" s="21"/>
      <c r="E35" s="21"/>
      <c r="F35" s="21"/>
      <c r="G35" s="21"/>
      <c r="H35" s="21"/>
      <c r="I35" s="21"/>
      <c r="J35" s="21"/>
      <c r="K35" s="22"/>
    </row>
    <row r="36" spans="1:11" ht="60" customHeight="1" x14ac:dyDescent="0.25">
      <c r="A36" s="4" t="s">
        <v>197</v>
      </c>
      <c r="B36" s="4" t="s">
        <v>198</v>
      </c>
      <c r="C36" s="9" t="s">
        <v>71</v>
      </c>
      <c r="D36" s="4" t="s">
        <v>199</v>
      </c>
      <c r="E36" s="4" t="s">
        <v>335</v>
      </c>
      <c r="F36" s="4" t="s">
        <v>74</v>
      </c>
      <c r="G36" s="4"/>
      <c r="H36" s="4" t="s">
        <v>75</v>
      </c>
      <c r="I36" s="4" t="s">
        <v>76</v>
      </c>
      <c r="J36" s="4"/>
      <c r="K36" s="4"/>
    </row>
    <row r="37" spans="1:11" ht="60" customHeight="1" x14ac:dyDescent="0.25">
      <c r="A37" s="4" t="s">
        <v>197</v>
      </c>
      <c r="B37" s="4" t="s">
        <v>198</v>
      </c>
      <c r="C37" s="10" t="s">
        <v>78</v>
      </c>
      <c r="D37" s="4" t="s">
        <v>336</v>
      </c>
      <c r="E37" s="4" t="s">
        <v>335</v>
      </c>
      <c r="F37" s="4" t="s">
        <v>74</v>
      </c>
      <c r="G37" s="4"/>
      <c r="H37" s="4" t="s">
        <v>75</v>
      </c>
      <c r="I37" s="4" t="s">
        <v>76</v>
      </c>
      <c r="J37" s="4"/>
      <c r="K37" s="4"/>
    </row>
    <row r="38" spans="1:11" x14ac:dyDescent="0.25">
      <c r="A38" s="8" t="s">
        <v>202</v>
      </c>
      <c r="B38" s="20" t="s">
        <v>203</v>
      </c>
      <c r="C38" s="21"/>
      <c r="D38" s="21"/>
      <c r="E38" s="21"/>
      <c r="F38" s="21"/>
      <c r="G38" s="21"/>
      <c r="H38" s="21"/>
      <c r="I38" s="21"/>
      <c r="J38" s="21"/>
      <c r="K38" s="22"/>
    </row>
    <row r="39" spans="1:11" ht="60" customHeight="1" x14ac:dyDescent="0.25">
      <c r="A39" s="4" t="s">
        <v>202</v>
      </c>
      <c r="B39" s="4" t="s">
        <v>203</v>
      </c>
      <c r="C39" s="9" t="s">
        <v>71</v>
      </c>
      <c r="D39" s="4" t="s">
        <v>204</v>
      </c>
      <c r="E39" s="4" t="s">
        <v>337</v>
      </c>
      <c r="F39" s="4" t="s">
        <v>74</v>
      </c>
      <c r="G39" s="4"/>
      <c r="H39" s="4" t="s">
        <v>75</v>
      </c>
      <c r="I39" s="4" t="s">
        <v>76</v>
      </c>
      <c r="J39" s="4"/>
      <c r="K39" s="4"/>
    </row>
    <row r="40" spans="1:11" ht="60" customHeight="1" x14ac:dyDescent="0.25">
      <c r="A40" s="4" t="s">
        <v>202</v>
      </c>
      <c r="B40" s="4" t="s">
        <v>203</v>
      </c>
      <c r="C40" s="10" t="s">
        <v>78</v>
      </c>
      <c r="D40" s="4" t="s">
        <v>338</v>
      </c>
      <c r="E40" s="4" t="s">
        <v>337</v>
      </c>
      <c r="F40" s="4" t="s">
        <v>74</v>
      </c>
      <c r="G40" s="4"/>
      <c r="H40" s="4" t="s">
        <v>75</v>
      </c>
      <c r="I40" s="4" t="s">
        <v>76</v>
      </c>
      <c r="J40" s="4"/>
      <c r="K40" s="4"/>
    </row>
    <row r="41" spans="1:11" x14ac:dyDescent="0.25">
      <c r="A41" s="8" t="s">
        <v>207</v>
      </c>
      <c r="B41" s="20" t="s">
        <v>208</v>
      </c>
      <c r="C41" s="21"/>
      <c r="D41" s="21"/>
      <c r="E41" s="21"/>
      <c r="F41" s="21"/>
      <c r="G41" s="21"/>
      <c r="H41" s="21"/>
      <c r="I41" s="21"/>
      <c r="J41" s="21"/>
      <c r="K41" s="22"/>
    </row>
    <row r="42" spans="1:11" ht="60" customHeight="1" x14ac:dyDescent="0.25">
      <c r="A42" s="4" t="s">
        <v>207</v>
      </c>
      <c r="B42" s="4" t="s">
        <v>208</v>
      </c>
      <c r="C42" s="9" t="s">
        <v>71</v>
      </c>
      <c r="D42" s="4" t="s">
        <v>209</v>
      </c>
      <c r="E42" s="4" t="s">
        <v>339</v>
      </c>
      <c r="F42" s="4" t="s">
        <v>74</v>
      </c>
      <c r="G42" s="4"/>
      <c r="H42" s="4" t="s">
        <v>75</v>
      </c>
      <c r="I42" s="4" t="s">
        <v>76</v>
      </c>
      <c r="J42" s="4"/>
      <c r="K42" s="4"/>
    </row>
    <row r="43" spans="1:11" ht="60" customHeight="1" x14ac:dyDescent="0.25">
      <c r="A43" s="4" t="s">
        <v>207</v>
      </c>
      <c r="B43" s="4" t="s">
        <v>208</v>
      </c>
      <c r="C43" s="10" t="s">
        <v>78</v>
      </c>
      <c r="D43" s="4" t="s">
        <v>340</v>
      </c>
      <c r="E43" s="4" t="s">
        <v>339</v>
      </c>
      <c r="F43" s="4" t="s">
        <v>74</v>
      </c>
      <c r="G43" s="4"/>
      <c r="H43" s="4" t="s">
        <v>75</v>
      </c>
      <c r="I43" s="4" t="s">
        <v>76</v>
      </c>
      <c r="J43" s="4"/>
      <c r="K43" s="4"/>
    </row>
  </sheetData>
  <mergeCells count="13">
    <mergeCell ref="A1:K1"/>
    <mergeCell ref="A2:K2"/>
    <mergeCell ref="B12:K12"/>
    <mergeCell ref="B15:K15"/>
    <mergeCell ref="B25:K25"/>
    <mergeCell ref="B38:K38"/>
    <mergeCell ref="B28:K28"/>
    <mergeCell ref="B41:K41"/>
    <mergeCell ref="B22:K22"/>
    <mergeCell ref="B8:K8"/>
    <mergeCell ref="B32:K32"/>
    <mergeCell ref="B18:K18"/>
    <mergeCell ref="B35:K35"/>
  </mergeCells>
  <dataValidations count="2">
    <dataValidation type="list" allowBlank="1" sqref="H8:H43" xr:uid="{00000000-0002-0000-0700-000000000000}">
      <formula1>"Pending,Conformant,Minor NC,Major NC,OFI,N/A"</formula1>
    </dataValidation>
    <dataValidation type="list" allowBlank="1" sqref="I8:I43" xr:uid="{00000000-0002-0000-07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6"/>
  <sheetViews>
    <sheetView workbookViewId="0">
      <pane ySplit="7" topLeftCell="A8" activePane="bottomLeft" state="frozen"/>
      <selection sqref="A1:K1"/>
      <selection pane="bottomLeft" sqref="A1:K1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55" customWidth="1"/>
    <col min="5" max="7" width="38" customWidth="1"/>
    <col min="8" max="9" width="14" customWidth="1"/>
    <col min="10" max="11" width="16" customWidth="1"/>
  </cols>
  <sheetData>
    <row r="1" spans="1:11" ht="18" x14ac:dyDescent="0.25">
      <c r="A1" s="33" t="s">
        <v>341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8" t="s">
        <v>342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25">
      <c r="A4" s="6" t="s">
        <v>49</v>
      </c>
      <c r="C4" s="6" t="s">
        <v>50</v>
      </c>
      <c r="F4" s="6" t="s">
        <v>51</v>
      </c>
      <c r="I4" s="6" t="s">
        <v>52</v>
      </c>
      <c r="K4" s="6" t="s">
        <v>53</v>
      </c>
    </row>
    <row r="5" spans="1:11" ht="18" customHeight="1" x14ac:dyDescent="0.25">
      <c r="A5" s="6" t="s">
        <v>54</v>
      </c>
      <c r="C5" s="6" t="s">
        <v>55</v>
      </c>
      <c r="D5" t="s">
        <v>56</v>
      </c>
      <c r="F5" s="6" t="s">
        <v>57</v>
      </c>
      <c r="K5" s="7">
        <f>IFERROR(COUNTIF(H8:H36,"Conformant")/(COUNTA(H8:H36)-COUNTIF(H8:H36,"Pending")-COUNTIF(H8:H36,"N/A")),0)</f>
        <v>0</v>
      </c>
    </row>
    <row r="7" spans="1:11" ht="27.95" customHeight="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8" t="s">
        <v>81</v>
      </c>
      <c r="B8" s="20" t="s">
        <v>82</v>
      </c>
      <c r="C8" s="21"/>
      <c r="D8" s="21"/>
      <c r="E8" s="21"/>
      <c r="F8" s="21"/>
      <c r="G8" s="21"/>
      <c r="H8" s="21"/>
      <c r="I8" s="21"/>
      <c r="J8" s="21"/>
      <c r="K8" s="22"/>
    </row>
    <row r="9" spans="1:11" ht="60" customHeight="1" x14ac:dyDescent="0.25">
      <c r="A9" s="4" t="s">
        <v>81</v>
      </c>
      <c r="B9" s="4" t="s">
        <v>82</v>
      </c>
      <c r="C9" s="9" t="s">
        <v>71</v>
      </c>
      <c r="D9" s="4" t="s">
        <v>83</v>
      </c>
      <c r="E9" s="4" t="s">
        <v>343</v>
      </c>
      <c r="F9" s="4" t="s">
        <v>74</v>
      </c>
      <c r="G9" s="4"/>
      <c r="H9" s="4" t="s">
        <v>75</v>
      </c>
      <c r="I9" s="4" t="s">
        <v>76</v>
      </c>
      <c r="J9" s="4"/>
      <c r="K9" s="4"/>
    </row>
    <row r="10" spans="1:11" ht="60" customHeight="1" x14ac:dyDescent="0.25">
      <c r="A10" s="4" t="s">
        <v>81</v>
      </c>
      <c r="B10" s="4" t="s">
        <v>82</v>
      </c>
      <c r="C10" s="9" t="s">
        <v>71</v>
      </c>
      <c r="D10" s="4" t="s">
        <v>85</v>
      </c>
      <c r="E10" s="4" t="s">
        <v>343</v>
      </c>
      <c r="F10" s="4" t="s">
        <v>74</v>
      </c>
      <c r="G10" s="4"/>
      <c r="H10" s="4" t="s">
        <v>75</v>
      </c>
      <c r="I10" s="4" t="s">
        <v>76</v>
      </c>
      <c r="J10" s="4"/>
      <c r="K10" s="4"/>
    </row>
    <row r="11" spans="1:11" ht="60" customHeight="1" x14ac:dyDescent="0.25">
      <c r="A11" s="4" t="s">
        <v>81</v>
      </c>
      <c r="B11" s="4" t="s">
        <v>82</v>
      </c>
      <c r="C11" s="10" t="s">
        <v>78</v>
      </c>
      <c r="D11" s="4" t="s">
        <v>344</v>
      </c>
      <c r="E11" s="4" t="s">
        <v>343</v>
      </c>
      <c r="F11" s="4" t="s">
        <v>74</v>
      </c>
      <c r="G11" s="4"/>
      <c r="H11" s="4" t="s">
        <v>75</v>
      </c>
      <c r="I11" s="4" t="s">
        <v>76</v>
      </c>
      <c r="J11" s="4"/>
      <c r="K11" s="4"/>
    </row>
    <row r="12" spans="1:11" x14ac:dyDescent="0.25">
      <c r="A12" s="8" t="s">
        <v>114</v>
      </c>
      <c r="B12" s="20" t="s">
        <v>115</v>
      </c>
      <c r="C12" s="21"/>
      <c r="D12" s="21"/>
      <c r="E12" s="21"/>
      <c r="F12" s="21"/>
      <c r="G12" s="21"/>
      <c r="H12" s="21"/>
      <c r="I12" s="21"/>
      <c r="J12" s="21"/>
      <c r="K12" s="22"/>
    </row>
    <row r="13" spans="1:11" ht="60" customHeight="1" x14ac:dyDescent="0.25">
      <c r="A13" s="4" t="s">
        <v>114</v>
      </c>
      <c r="B13" s="4" t="s">
        <v>115</v>
      </c>
      <c r="C13" s="9" t="s">
        <v>71</v>
      </c>
      <c r="D13" s="4" t="s">
        <v>116</v>
      </c>
      <c r="E13" s="4" t="s">
        <v>345</v>
      </c>
      <c r="F13" s="4" t="s">
        <v>74</v>
      </c>
      <c r="G13" s="4"/>
      <c r="H13" s="4" t="s">
        <v>75</v>
      </c>
      <c r="I13" s="4" t="s">
        <v>76</v>
      </c>
      <c r="J13" s="4"/>
      <c r="K13" s="4"/>
    </row>
    <row r="14" spans="1:11" ht="60" customHeight="1" x14ac:dyDescent="0.25">
      <c r="A14" s="4" t="s">
        <v>114</v>
      </c>
      <c r="B14" s="4" t="s">
        <v>115</v>
      </c>
      <c r="C14" s="9" t="s">
        <v>71</v>
      </c>
      <c r="D14" s="4" t="s">
        <v>118</v>
      </c>
      <c r="E14" s="4" t="s">
        <v>345</v>
      </c>
      <c r="F14" s="4" t="s">
        <v>74</v>
      </c>
      <c r="G14" s="4"/>
      <c r="H14" s="4" t="s">
        <v>75</v>
      </c>
      <c r="I14" s="4" t="s">
        <v>76</v>
      </c>
      <c r="J14" s="4"/>
      <c r="K14" s="4"/>
    </row>
    <row r="15" spans="1:11" ht="60" customHeight="1" x14ac:dyDescent="0.25">
      <c r="A15" s="4" t="s">
        <v>114</v>
      </c>
      <c r="B15" s="4" t="s">
        <v>115</v>
      </c>
      <c r="C15" s="10" t="s">
        <v>78</v>
      </c>
      <c r="D15" s="4" t="s">
        <v>346</v>
      </c>
      <c r="E15" s="4" t="s">
        <v>345</v>
      </c>
      <c r="F15" s="4" t="s">
        <v>74</v>
      </c>
      <c r="G15" s="4"/>
      <c r="H15" s="4" t="s">
        <v>75</v>
      </c>
      <c r="I15" s="4" t="s">
        <v>76</v>
      </c>
      <c r="J15" s="4"/>
      <c r="K15" s="4"/>
    </row>
    <row r="16" spans="1:11" x14ac:dyDescent="0.25">
      <c r="A16" s="8" t="s">
        <v>120</v>
      </c>
      <c r="B16" s="20" t="s">
        <v>121</v>
      </c>
      <c r="C16" s="21"/>
      <c r="D16" s="21"/>
      <c r="E16" s="21"/>
      <c r="F16" s="21"/>
      <c r="G16" s="21"/>
      <c r="H16" s="21"/>
      <c r="I16" s="21"/>
      <c r="J16" s="21"/>
      <c r="K16" s="22"/>
    </row>
    <row r="17" spans="1:11" ht="60" customHeight="1" x14ac:dyDescent="0.25">
      <c r="A17" s="4" t="s">
        <v>120</v>
      </c>
      <c r="B17" s="4" t="s">
        <v>121</v>
      </c>
      <c r="C17" s="9" t="s">
        <v>71</v>
      </c>
      <c r="D17" s="4" t="s">
        <v>122</v>
      </c>
      <c r="E17" s="4" t="s">
        <v>347</v>
      </c>
      <c r="F17" s="4" t="s">
        <v>74</v>
      </c>
      <c r="G17" s="4"/>
      <c r="H17" s="4" t="s">
        <v>75</v>
      </c>
      <c r="I17" s="4" t="s">
        <v>76</v>
      </c>
      <c r="J17" s="4"/>
      <c r="K17" s="4"/>
    </row>
    <row r="18" spans="1:11" ht="60" customHeight="1" x14ac:dyDescent="0.25">
      <c r="A18" s="4" t="s">
        <v>120</v>
      </c>
      <c r="B18" s="4" t="s">
        <v>121</v>
      </c>
      <c r="C18" s="9" t="s">
        <v>71</v>
      </c>
      <c r="D18" s="4" t="s">
        <v>124</v>
      </c>
      <c r="E18" s="4" t="s">
        <v>347</v>
      </c>
      <c r="F18" s="4" t="s">
        <v>74</v>
      </c>
      <c r="G18" s="4"/>
      <c r="H18" s="4" t="s">
        <v>75</v>
      </c>
      <c r="I18" s="4" t="s">
        <v>76</v>
      </c>
      <c r="J18" s="4"/>
      <c r="K18" s="4"/>
    </row>
    <row r="19" spans="1:11" ht="60" customHeight="1" x14ac:dyDescent="0.25">
      <c r="A19" s="4" t="s">
        <v>120</v>
      </c>
      <c r="B19" s="4" t="s">
        <v>121</v>
      </c>
      <c r="C19" s="10" t="s">
        <v>78</v>
      </c>
      <c r="D19" s="4" t="s">
        <v>348</v>
      </c>
      <c r="E19" s="4" t="s">
        <v>347</v>
      </c>
      <c r="F19" s="4" t="s">
        <v>74</v>
      </c>
      <c r="G19" s="4"/>
      <c r="H19" s="4" t="s">
        <v>75</v>
      </c>
      <c r="I19" s="4" t="s">
        <v>76</v>
      </c>
      <c r="J19" s="4"/>
      <c r="K19" s="4"/>
    </row>
    <row r="20" spans="1:11" x14ac:dyDescent="0.25">
      <c r="A20" s="8" t="s">
        <v>169</v>
      </c>
      <c r="B20" s="20" t="s">
        <v>170</v>
      </c>
      <c r="C20" s="21"/>
      <c r="D20" s="21"/>
      <c r="E20" s="21"/>
      <c r="F20" s="21"/>
      <c r="G20" s="21"/>
      <c r="H20" s="21"/>
      <c r="I20" s="21"/>
      <c r="J20" s="21"/>
      <c r="K20" s="22"/>
    </row>
    <row r="21" spans="1:11" ht="60" customHeight="1" x14ac:dyDescent="0.25">
      <c r="A21" s="4" t="s">
        <v>169</v>
      </c>
      <c r="B21" s="4" t="s">
        <v>170</v>
      </c>
      <c r="C21" s="9" t="s">
        <v>71</v>
      </c>
      <c r="D21" s="4" t="s">
        <v>171</v>
      </c>
      <c r="E21" s="4" t="s">
        <v>349</v>
      </c>
      <c r="F21" s="4" t="s">
        <v>74</v>
      </c>
      <c r="G21" s="4"/>
      <c r="H21" s="4" t="s">
        <v>75</v>
      </c>
      <c r="I21" s="4" t="s">
        <v>76</v>
      </c>
      <c r="J21" s="4"/>
      <c r="K21" s="4"/>
    </row>
    <row r="22" spans="1:11" ht="60" customHeight="1" x14ac:dyDescent="0.25">
      <c r="A22" s="4" t="s">
        <v>169</v>
      </c>
      <c r="B22" s="4" t="s">
        <v>170</v>
      </c>
      <c r="C22" s="9" t="s">
        <v>71</v>
      </c>
      <c r="D22" s="4" t="s">
        <v>173</v>
      </c>
      <c r="E22" s="4" t="s">
        <v>349</v>
      </c>
      <c r="F22" s="4" t="s">
        <v>74</v>
      </c>
      <c r="G22" s="4"/>
      <c r="H22" s="4" t="s">
        <v>75</v>
      </c>
      <c r="I22" s="4" t="s">
        <v>76</v>
      </c>
      <c r="J22" s="4"/>
      <c r="K22" s="4"/>
    </row>
    <row r="23" spans="1:11" ht="60" customHeight="1" x14ac:dyDescent="0.25">
      <c r="A23" s="4" t="s">
        <v>169</v>
      </c>
      <c r="B23" s="4" t="s">
        <v>170</v>
      </c>
      <c r="C23" s="10" t="s">
        <v>78</v>
      </c>
      <c r="D23" s="4" t="s">
        <v>350</v>
      </c>
      <c r="E23" s="4" t="s">
        <v>349</v>
      </c>
      <c r="F23" s="4" t="s">
        <v>74</v>
      </c>
      <c r="G23" s="4"/>
      <c r="H23" s="4" t="s">
        <v>75</v>
      </c>
      <c r="I23" s="4" t="s">
        <v>76</v>
      </c>
      <c r="J23" s="4"/>
      <c r="K23" s="4"/>
    </row>
    <row r="24" spans="1:11" x14ac:dyDescent="0.25">
      <c r="A24" s="8" t="s">
        <v>351</v>
      </c>
      <c r="B24" s="20" t="s">
        <v>352</v>
      </c>
      <c r="C24" s="21"/>
      <c r="D24" s="21"/>
      <c r="E24" s="21"/>
      <c r="F24" s="21"/>
      <c r="G24" s="21"/>
      <c r="H24" s="21"/>
      <c r="I24" s="21"/>
      <c r="J24" s="21"/>
      <c r="K24" s="22"/>
    </row>
    <row r="25" spans="1:11" ht="60" customHeight="1" x14ac:dyDescent="0.25">
      <c r="A25" s="4" t="s">
        <v>351</v>
      </c>
      <c r="B25" s="4" t="s">
        <v>352</v>
      </c>
      <c r="C25" s="9" t="s">
        <v>71</v>
      </c>
      <c r="D25" s="4" t="s">
        <v>353</v>
      </c>
      <c r="E25" s="4" t="s">
        <v>354</v>
      </c>
      <c r="F25" s="4" t="s">
        <v>74</v>
      </c>
      <c r="G25" s="4"/>
      <c r="H25" s="4" t="s">
        <v>75</v>
      </c>
      <c r="I25" s="4" t="s">
        <v>76</v>
      </c>
      <c r="J25" s="4"/>
      <c r="K25" s="4"/>
    </row>
    <row r="26" spans="1:11" ht="60" customHeight="1" x14ac:dyDescent="0.25">
      <c r="A26" s="4" t="s">
        <v>351</v>
      </c>
      <c r="B26" s="4" t="s">
        <v>352</v>
      </c>
      <c r="C26" s="10" t="s">
        <v>78</v>
      </c>
      <c r="D26" s="4" t="s">
        <v>355</v>
      </c>
      <c r="E26" s="4" t="s">
        <v>354</v>
      </c>
      <c r="F26" s="4" t="s">
        <v>74</v>
      </c>
      <c r="G26" s="4"/>
      <c r="H26" s="4" t="s">
        <v>75</v>
      </c>
      <c r="I26" s="4" t="s">
        <v>76</v>
      </c>
      <c r="J26" s="4"/>
      <c r="K26" s="4"/>
    </row>
    <row r="27" spans="1:11" ht="60" customHeight="1" x14ac:dyDescent="0.25">
      <c r="A27" s="4" t="s">
        <v>351</v>
      </c>
      <c r="B27" s="4" t="s">
        <v>352</v>
      </c>
      <c r="C27" s="10" t="s">
        <v>78</v>
      </c>
      <c r="D27" s="4" t="s">
        <v>356</v>
      </c>
      <c r="E27" s="4" t="s">
        <v>354</v>
      </c>
      <c r="F27" s="4" t="s">
        <v>74</v>
      </c>
      <c r="G27" s="4"/>
      <c r="H27" s="4" t="s">
        <v>75</v>
      </c>
      <c r="I27" s="4" t="s">
        <v>76</v>
      </c>
      <c r="J27" s="4"/>
      <c r="K27" s="4"/>
    </row>
    <row r="28" spans="1:11" x14ac:dyDescent="0.25">
      <c r="A28" s="8" t="s">
        <v>197</v>
      </c>
      <c r="B28" s="20" t="s">
        <v>198</v>
      </c>
      <c r="C28" s="21"/>
      <c r="D28" s="21"/>
      <c r="E28" s="21"/>
      <c r="F28" s="21"/>
      <c r="G28" s="21"/>
      <c r="H28" s="21"/>
      <c r="I28" s="21"/>
      <c r="J28" s="21"/>
      <c r="K28" s="22"/>
    </row>
    <row r="29" spans="1:11" ht="60" customHeight="1" x14ac:dyDescent="0.25">
      <c r="A29" s="4" t="s">
        <v>197</v>
      </c>
      <c r="B29" s="4" t="s">
        <v>198</v>
      </c>
      <c r="C29" s="9" t="s">
        <v>71</v>
      </c>
      <c r="D29" s="4" t="s">
        <v>199</v>
      </c>
      <c r="E29" s="4" t="s">
        <v>357</v>
      </c>
      <c r="F29" s="4" t="s">
        <v>74</v>
      </c>
      <c r="G29" s="4"/>
      <c r="H29" s="4" t="s">
        <v>75</v>
      </c>
      <c r="I29" s="4" t="s">
        <v>76</v>
      </c>
      <c r="J29" s="4"/>
      <c r="K29" s="4"/>
    </row>
    <row r="30" spans="1:11" ht="60" customHeight="1" x14ac:dyDescent="0.25">
      <c r="A30" s="4" t="s">
        <v>197</v>
      </c>
      <c r="B30" s="4" t="s">
        <v>198</v>
      </c>
      <c r="C30" s="10" t="s">
        <v>78</v>
      </c>
      <c r="D30" s="4" t="s">
        <v>358</v>
      </c>
      <c r="E30" s="4" t="s">
        <v>357</v>
      </c>
      <c r="F30" s="4" t="s">
        <v>74</v>
      </c>
      <c r="G30" s="4"/>
      <c r="H30" s="4" t="s">
        <v>75</v>
      </c>
      <c r="I30" s="4" t="s">
        <v>76</v>
      </c>
      <c r="J30" s="4"/>
      <c r="K30" s="4"/>
    </row>
    <row r="31" spans="1:11" x14ac:dyDescent="0.25">
      <c r="A31" s="8" t="s">
        <v>202</v>
      </c>
      <c r="B31" s="20" t="s">
        <v>203</v>
      </c>
      <c r="C31" s="21"/>
      <c r="D31" s="21"/>
      <c r="E31" s="21"/>
      <c r="F31" s="21"/>
      <c r="G31" s="21"/>
      <c r="H31" s="21"/>
      <c r="I31" s="21"/>
      <c r="J31" s="21"/>
      <c r="K31" s="22"/>
    </row>
    <row r="32" spans="1:11" ht="60" customHeight="1" x14ac:dyDescent="0.25">
      <c r="A32" s="4" t="s">
        <v>202</v>
      </c>
      <c r="B32" s="4" t="s">
        <v>203</v>
      </c>
      <c r="C32" s="9" t="s">
        <v>71</v>
      </c>
      <c r="D32" s="4" t="s">
        <v>204</v>
      </c>
      <c r="E32" s="4" t="s">
        <v>359</v>
      </c>
      <c r="F32" s="4" t="s">
        <v>74</v>
      </c>
      <c r="G32" s="4"/>
      <c r="H32" s="4" t="s">
        <v>75</v>
      </c>
      <c r="I32" s="4" t="s">
        <v>76</v>
      </c>
      <c r="J32" s="4"/>
      <c r="K32" s="4"/>
    </row>
    <row r="33" spans="1:11" ht="60" customHeight="1" x14ac:dyDescent="0.25">
      <c r="A33" s="4" t="s">
        <v>202</v>
      </c>
      <c r="B33" s="4" t="s">
        <v>203</v>
      </c>
      <c r="C33" s="10" t="s">
        <v>78</v>
      </c>
      <c r="D33" s="4" t="s">
        <v>360</v>
      </c>
      <c r="E33" s="4" t="s">
        <v>359</v>
      </c>
      <c r="F33" s="4" t="s">
        <v>74</v>
      </c>
      <c r="G33" s="4"/>
      <c r="H33" s="4" t="s">
        <v>75</v>
      </c>
      <c r="I33" s="4" t="s">
        <v>76</v>
      </c>
      <c r="J33" s="4"/>
      <c r="K33" s="4"/>
    </row>
    <row r="34" spans="1:11" x14ac:dyDescent="0.25">
      <c r="A34" s="8" t="s">
        <v>207</v>
      </c>
      <c r="B34" s="20" t="s">
        <v>208</v>
      </c>
      <c r="C34" s="21"/>
      <c r="D34" s="21"/>
      <c r="E34" s="21"/>
      <c r="F34" s="21"/>
      <c r="G34" s="21"/>
      <c r="H34" s="21"/>
      <c r="I34" s="21"/>
      <c r="J34" s="21"/>
      <c r="K34" s="22"/>
    </row>
    <row r="35" spans="1:11" ht="60" customHeight="1" x14ac:dyDescent="0.25">
      <c r="A35" s="4" t="s">
        <v>207</v>
      </c>
      <c r="B35" s="4" t="s">
        <v>208</v>
      </c>
      <c r="C35" s="9" t="s">
        <v>71</v>
      </c>
      <c r="D35" s="4" t="s">
        <v>209</v>
      </c>
      <c r="E35" s="4" t="s">
        <v>361</v>
      </c>
      <c r="F35" s="4" t="s">
        <v>74</v>
      </c>
      <c r="G35" s="4"/>
      <c r="H35" s="4" t="s">
        <v>75</v>
      </c>
      <c r="I35" s="4" t="s">
        <v>76</v>
      </c>
      <c r="J35" s="4"/>
      <c r="K35" s="4"/>
    </row>
    <row r="36" spans="1:11" ht="60" customHeight="1" x14ac:dyDescent="0.25">
      <c r="A36" s="4" t="s">
        <v>207</v>
      </c>
      <c r="B36" s="4" t="s">
        <v>208</v>
      </c>
      <c r="C36" s="10" t="s">
        <v>78</v>
      </c>
      <c r="D36" s="4" t="s">
        <v>362</v>
      </c>
      <c r="E36" s="4" t="s">
        <v>361</v>
      </c>
      <c r="F36" s="4" t="s">
        <v>74</v>
      </c>
      <c r="G36" s="4"/>
      <c r="H36" s="4" t="s">
        <v>75</v>
      </c>
      <c r="I36" s="4" t="s">
        <v>76</v>
      </c>
      <c r="J36" s="4"/>
      <c r="K36" s="4"/>
    </row>
  </sheetData>
  <mergeCells count="10">
    <mergeCell ref="A1:K1"/>
    <mergeCell ref="B31:K31"/>
    <mergeCell ref="B8:K8"/>
    <mergeCell ref="B28:K28"/>
    <mergeCell ref="B34:K34"/>
    <mergeCell ref="A2:K2"/>
    <mergeCell ref="B12:K12"/>
    <mergeCell ref="B24:K24"/>
    <mergeCell ref="B16:K16"/>
    <mergeCell ref="B20:K20"/>
  </mergeCells>
  <dataValidations count="2">
    <dataValidation type="list" allowBlank="1" sqref="H8:H36" xr:uid="{00000000-0002-0000-0800-000000000000}">
      <formula1>"Pending,Conformant,Minor NC,Major NC,OFI,N/A"</formula1>
    </dataValidation>
    <dataValidation type="list" allowBlank="1" sqref="I8:I36" xr:uid="{00000000-0002-0000-08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5"/>
  <sheetViews>
    <sheetView workbookViewId="0">
      <pane ySplit="7" topLeftCell="A8" activePane="bottomLeft" state="frozen"/>
      <selection sqref="A1:K1"/>
      <selection pane="bottomLeft" sqref="A1:K1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55" customWidth="1"/>
    <col min="5" max="7" width="38" customWidth="1"/>
    <col min="8" max="9" width="14" customWidth="1"/>
    <col min="10" max="11" width="16" customWidth="1"/>
  </cols>
  <sheetData>
    <row r="1" spans="1:11" ht="18" x14ac:dyDescent="0.25">
      <c r="A1" s="33" t="s">
        <v>363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8" t="s">
        <v>364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25">
      <c r="A4" s="6" t="s">
        <v>49</v>
      </c>
      <c r="C4" s="6" t="s">
        <v>50</v>
      </c>
      <c r="F4" s="6" t="s">
        <v>51</v>
      </c>
      <c r="I4" s="6" t="s">
        <v>52</v>
      </c>
      <c r="K4" s="6" t="s">
        <v>53</v>
      </c>
    </row>
    <row r="5" spans="1:11" ht="18" customHeight="1" x14ac:dyDescent="0.25">
      <c r="A5" s="6" t="s">
        <v>54</v>
      </c>
      <c r="C5" s="6" t="s">
        <v>55</v>
      </c>
      <c r="D5" t="s">
        <v>56</v>
      </c>
      <c r="F5" s="6" t="s">
        <v>57</v>
      </c>
      <c r="K5" s="7">
        <f>IFERROR(COUNTIF(H8:H35,"Conformant")/(COUNTA(H8:H35)-COUNTIF(H8:H35,"Pending")-COUNTIF(H8:H35,"N/A")),0)</f>
        <v>0</v>
      </c>
    </row>
    <row r="7" spans="1:11" ht="27.95" customHeight="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8" t="s">
        <v>69</v>
      </c>
      <c r="B8" s="20" t="s">
        <v>70</v>
      </c>
      <c r="C8" s="21"/>
      <c r="D8" s="21"/>
      <c r="E8" s="21"/>
      <c r="F8" s="21"/>
      <c r="G8" s="21"/>
      <c r="H8" s="21"/>
      <c r="I8" s="21"/>
      <c r="J8" s="21"/>
      <c r="K8" s="22"/>
    </row>
    <row r="9" spans="1:11" ht="60" customHeight="1" x14ac:dyDescent="0.25">
      <c r="A9" s="4" t="s">
        <v>69</v>
      </c>
      <c r="B9" s="4" t="s">
        <v>70</v>
      </c>
      <c r="C9" s="9" t="s">
        <v>71</v>
      </c>
      <c r="D9" s="4" t="s">
        <v>72</v>
      </c>
      <c r="E9" s="4" t="s">
        <v>365</v>
      </c>
      <c r="F9" s="4" t="s">
        <v>74</v>
      </c>
      <c r="G9" s="4"/>
      <c r="H9" s="4" t="s">
        <v>75</v>
      </c>
      <c r="I9" s="4" t="s">
        <v>76</v>
      </c>
      <c r="J9" s="4"/>
      <c r="K9" s="4"/>
    </row>
    <row r="10" spans="1:11" ht="60" customHeight="1" x14ac:dyDescent="0.25">
      <c r="A10" s="4" t="s">
        <v>69</v>
      </c>
      <c r="B10" s="4" t="s">
        <v>70</v>
      </c>
      <c r="C10" s="9" t="s">
        <v>71</v>
      </c>
      <c r="D10" s="4" t="s">
        <v>77</v>
      </c>
      <c r="E10" s="4" t="s">
        <v>365</v>
      </c>
      <c r="F10" s="4" t="s">
        <v>74</v>
      </c>
      <c r="G10" s="4"/>
      <c r="H10" s="4" t="s">
        <v>75</v>
      </c>
      <c r="I10" s="4" t="s">
        <v>76</v>
      </c>
      <c r="J10" s="4"/>
      <c r="K10" s="4"/>
    </row>
    <row r="11" spans="1:11" ht="60" customHeight="1" x14ac:dyDescent="0.25">
      <c r="A11" s="4" t="s">
        <v>69</v>
      </c>
      <c r="B11" s="4" t="s">
        <v>70</v>
      </c>
      <c r="C11" s="10" t="s">
        <v>78</v>
      </c>
      <c r="D11" s="4" t="s">
        <v>366</v>
      </c>
      <c r="E11" s="4" t="s">
        <v>365</v>
      </c>
      <c r="F11" s="4" t="s">
        <v>74</v>
      </c>
      <c r="G11" s="4"/>
      <c r="H11" s="4" t="s">
        <v>75</v>
      </c>
      <c r="I11" s="4" t="s">
        <v>76</v>
      </c>
      <c r="J11" s="4"/>
      <c r="K11" s="4"/>
    </row>
    <row r="12" spans="1:11" x14ac:dyDescent="0.25">
      <c r="A12" s="8" t="s">
        <v>81</v>
      </c>
      <c r="B12" s="20" t="s">
        <v>82</v>
      </c>
      <c r="C12" s="21"/>
      <c r="D12" s="21"/>
      <c r="E12" s="21"/>
      <c r="F12" s="21"/>
      <c r="G12" s="21"/>
      <c r="H12" s="21"/>
      <c r="I12" s="21"/>
      <c r="J12" s="21"/>
      <c r="K12" s="22"/>
    </row>
    <row r="13" spans="1:11" ht="60" customHeight="1" x14ac:dyDescent="0.25">
      <c r="A13" s="4" t="s">
        <v>81</v>
      </c>
      <c r="B13" s="4" t="s">
        <v>82</v>
      </c>
      <c r="C13" s="9" t="s">
        <v>71</v>
      </c>
      <c r="D13" s="4" t="s">
        <v>83</v>
      </c>
      <c r="E13" s="4" t="s">
        <v>367</v>
      </c>
      <c r="F13" s="4" t="s">
        <v>74</v>
      </c>
      <c r="G13" s="4"/>
      <c r="H13" s="4" t="s">
        <v>75</v>
      </c>
      <c r="I13" s="4" t="s">
        <v>76</v>
      </c>
      <c r="J13" s="4"/>
      <c r="K13" s="4"/>
    </row>
    <row r="14" spans="1:11" ht="60" customHeight="1" x14ac:dyDescent="0.25">
      <c r="A14" s="4" t="s">
        <v>81</v>
      </c>
      <c r="B14" s="4" t="s">
        <v>82</v>
      </c>
      <c r="C14" s="9" t="s">
        <v>71</v>
      </c>
      <c r="D14" s="4" t="s">
        <v>85</v>
      </c>
      <c r="E14" s="4" t="s">
        <v>367</v>
      </c>
      <c r="F14" s="4" t="s">
        <v>74</v>
      </c>
      <c r="G14" s="4"/>
      <c r="H14" s="4" t="s">
        <v>75</v>
      </c>
      <c r="I14" s="4" t="s">
        <v>76</v>
      </c>
      <c r="J14" s="4"/>
      <c r="K14" s="4"/>
    </row>
    <row r="15" spans="1:11" ht="60" customHeight="1" x14ac:dyDescent="0.25">
      <c r="A15" s="4" t="s">
        <v>81</v>
      </c>
      <c r="B15" s="4" t="s">
        <v>82</v>
      </c>
      <c r="C15" s="10" t="s">
        <v>78</v>
      </c>
      <c r="D15" s="4" t="s">
        <v>368</v>
      </c>
      <c r="E15" s="4" t="s">
        <v>367</v>
      </c>
      <c r="F15" s="4" t="s">
        <v>74</v>
      </c>
      <c r="G15" s="4"/>
      <c r="H15" s="4" t="s">
        <v>75</v>
      </c>
      <c r="I15" s="4" t="s">
        <v>76</v>
      </c>
      <c r="J15" s="4"/>
      <c r="K15" s="4"/>
    </row>
    <row r="16" spans="1:11" x14ac:dyDescent="0.25">
      <c r="A16" s="8" t="s">
        <v>120</v>
      </c>
      <c r="B16" s="20" t="s">
        <v>121</v>
      </c>
      <c r="C16" s="21"/>
      <c r="D16" s="21"/>
      <c r="E16" s="21"/>
      <c r="F16" s="21"/>
      <c r="G16" s="21"/>
      <c r="H16" s="21"/>
      <c r="I16" s="21"/>
      <c r="J16" s="21"/>
      <c r="K16" s="22"/>
    </row>
    <row r="17" spans="1:11" ht="60" customHeight="1" x14ac:dyDescent="0.25">
      <c r="A17" s="4" t="s">
        <v>120</v>
      </c>
      <c r="B17" s="4" t="s">
        <v>121</v>
      </c>
      <c r="C17" s="9" t="s">
        <v>71</v>
      </c>
      <c r="D17" s="4" t="s">
        <v>122</v>
      </c>
      <c r="E17" s="4" t="s">
        <v>369</v>
      </c>
      <c r="F17" s="4" t="s">
        <v>74</v>
      </c>
      <c r="G17" s="4"/>
      <c r="H17" s="4" t="s">
        <v>75</v>
      </c>
      <c r="I17" s="4" t="s">
        <v>76</v>
      </c>
      <c r="J17" s="4"/>
      <c r="K17" s="4"/>
    </row>
    <row r="18" spans="1:11" ht="60" customHeight="1" x14ac:dyDescent="0.25">
      <c r="A18" s="4" t="s">
        <v>120</v>
      </c>
      <c r="B18" s="4" t="s">
        <v>121</v>
      </c>
      <c r="C18" s="9" t="s">
        <v>71</v>
      </c>
      <c r="D18" s="4" t="s">
        <v>124</v>
      </c>
      <c r="E18" s="4" t="s">
        <v>369</v>
      </c>
      <c r="F18" s="4" t="s">
        <v>74</v>
      </c>
      <c r="G18" s="4"/>
      <c r="H18" s="4" t="s">
        <v>75</v>
      </c>
      <c r="I18" s="4" t="s">
        <v>76</v>
      </c>
      <c r="J18" s="4"/>
      <c r="K18" s="4"/>
    </row>
    <row r="19" spans="1:11" ht="60" customHeight="1" x14ac:dyDescent="0.25">
      <c r="A19" s="4" t="s">
        <v>120</v>
      </c>
      <c r="B19" s="4" t="s">
        <v>121</v>
      </c>
      <c r="C19" s="10" t="s">
        <v>78</v>
      </c>
      <c r="D19" s="4" t="s">
        <v>370</v>
      </c>
      <c r="E19" s="4" t="s">
        <v>369</v>
      </c>
      <c r="F19" s="4" t="s">
        <v>74</v>
      </c>
      <c r="G19" s="4"/>
      <c r="H19" s="4" t="s">
        <v>75</v>
      </c>
      <c r="I19" s="4" t="s">
        <v>76</v>
      </c>
      <c r="J19" s="4"/>
      <c r="K19" s="4"/>
    </row>
    <row r="20" spans="1:11" x14ac:dyDescent="0.25">
      <c r="A20" s="8" t="s">
        <v>371</v>
      </c>
      <c r="B20" s="20" t="s">
        <v>372</v>
      </c>
      <c r="C20" s="21"/>
      <c r="D20" s="21"/>
      <c r="E20" s="21"/>
      <c r="F20" s="21"/>
      <c r="G20" s="21"/>
      <c r="H20" s="21"/>
      <c r="I20" s="21"/>
      <c r="J20" s="21"/>
      <c r="K20" s="22"/>
    </row>
    <row r="21" spans="1:11" ht="60" customHeight="1" x14ac:dyDescent="0.25">
      <c r="A21" s="4" t="s">
        <v>371</v>
      </c>
      <c r="B21" s="4" t="s">
        <v>372</v>
      </c>
      <c r="C21" s="9" t="s">
        <v>71</v>
      </c>
      <c r="D21" s="4" t="s">
        <v>373</v>
      </c>
      <c r="E21" s="4" t="s">
        <v>374</v>
      </c>
      <c r="F21" s="4" t="s">
        <v>74</v>
      </c>
      <c r="G21" s="4"/>
      <c r="H21" s="4" t="s">
        <v>75</v>
      </c>
      <c r="I21" s="4" t="s">
        <v>76</v>
      </c>
      <c r="J21" s="4"/>
      <c r="K21" s="4"/>
    </row>
    <row r="22" spans="1:11" ht="60" customHeight="1" x14ac:dyDescent="0.25">
      <c r="A22" s="4" t="s">
        <v>371</v>
      </c>
      <c r="B22" s="4" t="s">
        <v>372</v>
      </c>
      <c r="C22" s="10" t="s">
        <v>78</v>
      </c>
      <c r="D22" s="4" t="s">
        <v>375</v>
      </c>
      <c r="E22" s="4" t="s">
        <v>374</v>
      </c>
      <c r="F22" s="4" t="s">
        <v>74</v>
      </c>
      <c r="G22" s="4"/>
      <c r="H22" s="4" t="s">
        <v>75</v>
      </c>
      <c r="I22" s="4" t="s">
        <v>76</v>
      </c>
      <c r="J22" s="4"/>
      <c r="K22" s="4"/>
    </row>
    <row r="23" spans="1:11" x14ac:dyDescent="0.25">
      <c r="A23" s="8" t="s">
        <v>169</v>
      </c>
      <c r="B23" s="20" t="s">
        <v>170</v>
      </c>
      <c r="C23" s="21"/>
      <c r="D23" s="21"/>
      <c r="E23" s="21"/>
      <c r="F23" s="21"/>
      <c r="G23" s="21"/>
      <c r="H23" s="21"/>
      <c r="I23" s="21"/>
      <c r="J23" s="21"/>
      <c r="K23" s="22"/>
    </row>
    <row r="24" spans="1:11" ht="60" customHeight="1" x14ac:dyDescent="0.25">
      <c r="A24" s="4" t="s">
        <v>169</v>
      </c>
      <c r="B24" s="4" t="s">
        <v>170</v>
      </c>
      <c r="C24" s="9" t="s">
        <v>71</v>
      </c>
      <c r="D24" s="4" t="s">
        <v>171</v>
      </c>
      <c r="E24" s="4" t="s">
        <v>376</v>
      </c>
      <c r="F24" s="4" t="s">
        <v>74</v>
      </c>
      <c r="G24" s="4"/>
      <c r="H24" s="4" t="s">
        <v>75</v>
      </c>
      <c r="I24" s="4" t="s">
        <v>76</v>
      </c>
      <c r="J24" s="4"/>
      <c r="K24" s="4"/>
    </row>
    <row r="25" spans="1:11" ht="60" customHeight="1" x14ac:dyDescent="0.25">
      <c r="A25" s="4" t="s">
        <v>169</v>
      </c>
      <c r="B25" s="4" t="s">
        <v>170</v>
      </c>
      <c r="C25" s="9" t="s">
        <v>71</v>
      </c>
      <c r="D25" s="4" t="s">
        <v>173</v>
      </c>
      <c r="E25" s="4" t="s">
        <v>376</v>
      </c>
      <c r="F25" s="4" t="s">
        <v>74</v>
      </c>
      <c r="G25" s="4"/>
      <c r="H25" s="4" t="s">
        <v>75</v>
      </c>
      <c r="I25" s="4" t="s">
        <v>76</v>
      </c>
      <c r="J25" s="4"/>
      <c r="K25" s="4"/>
    </row>
    <row r="26" spans="1:11" ht="60" customHeight="1" x14ac:dyDescent="0.25">
      <c r="A26" s="4" t="s">
        <v>169</v>
      </c>
      <c r="B26" s="4" t="s">
        <v>170</v>
      </c>
      <c r="C26" s="10" t="s">
        <v>78</v>
      </c>
      <c r="D26" s="4" t="s">
        <v>377</v>
      </c>
      <c r="E26" s="4" t="s">
        <v>376</v>
      </c>
      <c r="F26" s="4" t="s">
        <v>74</v>
      </c>
      <c r="G26" s="4"/>
      <c r="H26" s="4" t="s">
        <v>75</v>
      </c>
      <c r="I26" s="4" t="s">
        <v>76</v>
      </c>
      <c r="J26" s="4"/>
      <c r="K26" s="4"/>
    </row>
    <row r="27" spans="1:11" x14ac:dyDescent="0.25">
      <c r="A27" s="8" t="s">
        <v>351</v>
      </c>
      <c r="B27" s="20" t="s">
        <v>352</v>
      </c>
      <c r="C27" s="21"/>
      <c r="D27" s="21"/>
      <c r="E27" s="21"/>
      <c r="F27" s="21"/>
      <c r="G27" s="21"/>
      <c r="H27" s="21"/>
      <c r="I27" s="21"/>
      <c r="J27" s="21"/>
      <c r="K27" s="22"/>
    </row>
    <row r="28" spans="1:11" ht="60" customHeight="1" x14ac:dyDescent="0.25">
      <c r="A28" s="4" t="s">
        <v>351</v>
      </c>
      <c r="B28" s="4" t="s">
        <v>352</v>
      </c>
      <c r="C28" s="9" t="s">
        <v>71</v>
      </c>
      <c r="D28" s="4" t="s">
        <v>353</v>
      </c>
      <c r="E28" s="4" t="s">
        <v>378</v>
      </c>
      <c r="F28" s="4" t="s">
        <v>74</v>
      </c>
      <c r="G28" s="4"/>
      <c r="H28" s="4" t="s">
        <v>75</v>
      </c>
      <c r="I28" s="4" t="s">
        <v>76</v>
      </c>
      <c r="J28" s="4"/>
      <c r="K28" s="4"/>
    </row>
    <row r="29" spans="1:11" ht="60" customHeight="1" x14ac:dyDescent="0.25">
      <c r="A29" s="4" t="s">
        <v>351</v>
      </c>
      <c r="B29" s="4" t="s">
        <v>352</v>
      </c>
      <c r="C29" s="10" t="s">
        <v>78</v>
      </c>
      <c r="D29" s="4" t="s">
        <v>379</v>
      </c>
      <c r="E29" s="4" t="s">
        <v>378</v>
      </c>
      <c r="F29" s="4" t="s">
        <v>74</v>
      </c>
      <c r="G29" s="4"/>
      <c r="H29" s="4" t="s">
        <v>75</v>
      </c>
      <c r="I29" s="4" t="s">
        <v>76</v>
      </c>
      <c r="J29" s="4"/>
      <c r="K29" s="4"/>
    </row>
    <row r="30" spans="1:11" x14ac:dyDescent="0.25">
      <c r="A30" s="8" t="s">
        <v>202</v>
      </c>
      <c r="B30" s="20" t="s">
        <v>203</v>
      </c>
      <c r="C30" s="21"/>
      <c r="D30" s="21"/>
      <c r="E30" s="21"/>
      <c r="F30" s="21"/>
      <c r="G30" s="21"/>
      <c r="H30" s="21"/>
      <c r="I30" s="21"/>
      <c r="J30" s="21"/>
      <c r="K30" s="22"/>
    </row>
    <row r="31" spans="1:11" ht="60" customHeight="1" x14ac:dyDescent="0.25">
      <c r="A31" s="4" t="s">
        <v>202</v>
      </c>
      <c r="B31" s="4" t="s">
        <v>203</v>
      </c>
      <c r="C31" s="9" t="s">
        <v>71</v>
      </c>
      <c r="D31" s="4" t="s">
        <v>204</v>
      </c>
      <c r="E31" s="4" t="s">
        <v>380</v>
      </c>
      <c r="F31" s="4" t="s">
        <v>74</v>
      </c>
      <c r="G31" s="4"/>
      <c r="H31" s="4" t="s">
        <v>75</v>
      </c>
      <c r="I31" s="4" t="s">
        <v>76</v>
      </c>
      <c r="J31" s="4"/>
      <c r="K31" s="4"/>
    </row>
    <row r="32" spans="1:11" ht="60" customHeight="1" x14ac:dyDescent="0.25">
      <c r="A32" s="4" t="s">
        <v>202</v>
      </c>
      <c r="B32" s="4" t="s">
        <v>203</v>
      </c>
      <c r="C32" s="10" t="s">
        <v>78</v>
      </c>
      <c r="D32" s="4" t="s">
        <v>381</v>
      </c>
      <c r="E32" s="4" t="s">
        <v>380</v>
      </c>
      <c r="F32" s="4" t="s">
        <v>74</v>
      </c>
      <c r="G32" s="4"/>
      <c r="H32" s="4" t="s">
        <v>75</v>
      </c>
      <c r="I32" s="4" t="s">
        <v>76</v>
      </c>
      <c r="J32" s="4"/>
      <c r="K32" s="4"/>
    </row>
    <row r="33" spans="1:11" x14ac:dyDescent="0.25">
      <c r="A33" s="8" t="s">
        <v>141</v>
      </c>
      <c r="B33" s="20" t="s">
        <v>142</v>
      </c>
      <c r="C33" s="21"/>
      <c r="D33" s="21"/>
      <c r="E33" s="21"/>
      <c r="F33" s="21"/>
      <c r="G33" s="21"/>
      <c r="H33" s="21"/>
      <c r="I33" s="21"/>
      <c r="J33" s="21"/>
      <c r="K33" s="22"/>
    </row>
    <row r="34" spans="1:11" ht="60" customHeight="1" x14ac:dyDescent="0.25">
      <c r="A34" s="4" t="s">
        <v>141</v>
      </c>
      <c r="B34" s="4" t="s">
        <v>142</v>
      </c>
      <c r="C34" s="9" t="s">
        <v>71</v>
      </c>
      <c r="D34" s="4" t="s">
        <v>143</v>
      </c>
      <c r="E34" s="4" t="s">
        <v>382</v>
      </c>
      <c r="F34" s="4" t="s">
        <v>74</v>
      </c>
      <c r="G34" s="4"/>
      <c r="H34" s="4" t="s">
        <v>75</v>
      </c>
      <c r="I34" s="4" t="s">
        <v>76</v>
      </c>
      <c r="J34" s="4"/>
      <c r="K34" s="4"/>
    </row>
    <row r="35" spans="1:11" ht="60" customHeight="1" x14ac:dyDescent="0.25">
      <c r="A35" s="4" t="s">
        <v>141</v>
      </c>
      <c r="B35" s="4" t="s">
        <v>142</v>
      </c>
      <c r="C35" s="10" t="s">
        <v>78</v>
      </c>
      <c r="D35" s="4" t="s">
        <v>383</v>
      </c>
      <c r="E35" s="4" t="s">
        <v>382</v>
      </c>
      <c r="F35" s="4" t="s">
        <v>74</v>
      </c>
      <c r="G35" s="4"/>
      <c r="H35" s="4" t="s">
        <v>75</v>
      </c>
      <c r="I35" s="4" t="s">
        <v>76</v>
      </c>
      <c r="J35" s="4"/>
      <c r="K35" s="4"/>
    </row>
  </sheetData>
  <mergeCells count="10">
    <mergeCell ref="B33:K33"/>
    <mergeCell ref="A1:K1"/>
    <mergeCell ref="B23:K23"/>
    <mergeCell ref="B8:K8"/>
    <mergeCell ref="B27:K27"/>
    <mergeCell ref="B30:K30"/>
    <mergeCell ref="A2:K2"/>
    <mergeCell ref="B12:K12"/>
    <mergeCell ref="B16:K16"/>
    <mergeCell ref="B20:K20"/>
  </mergeCells>
  <dataValidations count="2">
    <dataValidation type="list" allowBlank="1" sqref="H8:H35" xr:uid="{00000000-0002-0000-0900-000000000000}">
      <formula1>"Pending,Conformant,Minor NC,Major NC,OFI,N/A"</formula1>
    </dataValidation>
    <dataValidation type="list" allowBlank="1" sqref="I8:I35" xr:uid="{00000000-0002-0000-09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3"/>
  <sheetViews>
    <sheetView workbookViewId="0">
      <pane ySplit="7" topLeftCell="A8" activePane="bottomLeft" state="frozen"/>
      <selection sqref="A1:K1"/>
      <selection pane="bottomLeft" sqref="A1:K1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55" customWidth="1"/>
    <col min="5" max="7" width="38" customWidth="1"/>
    <col min="8" max="9" width="14" customWidth="1"/>
    <col min="10" max="11" width="16" customWidth="1"/>
  </cols>
  <sheetData>
    <row r="1" spans="1:11" ht="18" x14ac:dyDescent="0.25">
      <c r="A1" s="33" t="s">
        <v>384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8" t="s">
        <v>385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25">
      <c r="A4" s="6" t="s">
        <v>49</v>
      </c>
      <c r="C4" s="6" t="s">
        <v>50</v>
      </c>
      <c r="F4" s="6" t="s">
        <v>51</v>
      </c>
      <c r="I4" s="6" t="s">
        <v>52</v>
      </c>
      <c r="K4" s="6" t="s">
        <v>53</v>
      </c>
    </row>
    <row r="5" spans="1:11" ht="18" customHeight="1" x14ac:dyDescent="0.25">
      <c r="A5" s="6" t="s">
        <v>54</v>
      </c>
      <c r="C5" s="6" t="s">
        <v>55</v>
      </c>
      <c r="D5" t="s">
        <v>56</v>
      </c>
      <c r="F5" s="6" t="s">
        <v>57</v>
      </c>
      <c r="K5" s="7">
        <f>IFERROR(COUNTIF(H8:H33,"Conformant")/(COUNTA(H8:H33)-COUNTIF(H8:H33,"Pending")-COUNTIF(H8:H33,"N/A")),0)</f>
        <v>0</v>
      </c>
    </row>
    <row r="7" spans="1:11" ht="27.95" customHeight="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8" t="s">
        <v>114</v>
      </c>
      <c r="B8" s="20" t="s">
        <v>115</v>
      </c>
      <c r="C8" s="21"/>
      <c r="D8" s="21"/>
      <c r="E8" s="21"/>
      <c r="F8" s="21"/>
      <c r="G8" s="21"/>
      <c r="H8" s="21"/>
      <c r="I8" s="21"/>
      <c r="J8" s="21"/>
      <c r="K8" s="22"/>
    </row>
    <row r="9" spans="1:11" ht="60" customHeight="1" x14ac:dyDescent="0.25">
      <c r="A9" s="4" t="s">
        <v>114</v>
      </c>
      <c r="B9" s="4" t="s">
        <v>115</v>
      </c>
      <c r="C9" s="9" t="s">
        <v>71</v>
      </c>
      <c r="D9" s="4" t="s">
        <v>116</v>
      </c>
      <c r="E9" s="4" t="s">
        <v>386</v>
      </c>
      <c r="F9" s="4" t="s">
        <v>74</v>
      </c>
      <c r="G9" s="4"/>
      <c r="H9" s="4" t="s">
        <v>75</v>
      </c>
      <c r="I9" s="4" t="s">
        <v>76</v>
      </c>
      <c r="J9" s="4"/>
      <c r="K9" s="4"/>
    </row>
    <row r="10" spans="1:11" ht="60" customHeight="1" x14ac:dyDescent="0.25">
      <c r="A10" s="4" t="s">
        <v>114</v>
      </c>
      <c r="B10" s="4" t="s">
        <v>115</v>
      </c>
      <c r="C10" s="9" t="s">
        <v>71</v>
      </c>
      <c r="D10" s="4" t="s">
        <v>118</v>
      </c>
      <c r="E10" s="4" t="s">
        <v>386</v>
      </c>
      <c r="F10" s="4" t="s">
        <v>74</v>
      </c>
      <c r="G10" s="4"/>
      <c r="H10" s="4" t="s">
        <v>75</v>
      </c>
      <c r="I10" s="4" t="s">
        <v>76</v>
      </c>
      <c r="J10" s="4"/>
      <c r="K10" s="4"/>
    </row>
    <row r="11" spans="1:11" ht="60" customHeight="1" x14ac:dyDescent="0.25">
      <c r="A11" s="4" t="s">
        <v>114</v>
      </c>
      <c r="B11" s="4" t="s">
        <v>115</v>
      </c>
      <c r="C11" s="10" t="s">
        <v>78</v>
      </c>
      <c r="D11" s="4" t="s">
        <v>387</v>
      </c>
      <c r="E11" s="4" t="s">
        <v>386</v>
      </c>
      <c r="F11" s="4" t="s">
        <v>74</v>
      </c>
      <c r="G11" s="4"/>
      <c r="H11" s="4" t="s">
        <v>75</v>
      </c>
      <c r="I11" s="4" t="s">
        <v>76</v>
      </c>
      <c r="J11" s="4"/>
      <c r="K11" s="4"/>
    </row>
    <row r="12" spans="1:11" x14ac:dyDescent="0.25">
      <c r="A12" s="8" t="s">
        <v>120</v>
      </c>
      <c r="B12" s="20" t="s">
        <v>121</v>
      </c>
      <c r="C12" s="21"/>
      <c r="D12" s="21"/>
      <c r="E12" s="21"/>
      <c r="F12" s="21"/>
      <c r="G12" s="21"/>
      <c r="H12" s="21"/>
      <c r="I12" s="21"/>
      <c r="J12" s="21"/>
      <c r="K12" s="22"/>
    </row>
    <row r="13" spans="1:11" ht="60" customHeight="1" x14ac:dyDescent="0.25">
      <c r="A13" s="4" t="s">
        <v>120</v>
      </c>
      <c r="B13" s="4" t="s">
        <v>121</v>
      </c>
      <c r="C13" s="9" t="s">
        <v>71</v>
      </c>
      <c r="D13" s="4" t="s">
        <v>122</v>
      </c>
      <c r="E13" s="4" t="s">
        <v>388</v>
      </c>
      <c r="F13" s="4" t="s">
        <v>74</v>
      </c>
      <c r="G13" s="4"/>
      <c r="H13" s="4" t="s">
        <v>75</v>
      </c>
      <c r="I13" s="4" t="s">
        <v>76</v>
      </c>
      <c r="J13" s="4"/>
      <c r="K13" s="4"/>
    </row>
    <row r="14" spans="1:11" ht="60" customHeight="1" x14ac:dyDescent="0.25">
      <c r="A14" s="4" t="s">
        <v>120</v>
      </c>
      <c r="B14" s="4" t="s">
        <v>121</v>
      </c>
      <c r="C14" s="9" t="s">
        <v>71</v>
      </c>
      <c r="D14" s="4" t="s">
        <v>124</v>
      </c>
      <c r="E14" s="4" t="s">
        <v>388</v>
      </c>
      <c r="F14" s="4" t="s">
        <v>74</v>
      </c>
      <c r="G14" s="4"/>
      <c r="H14" s="4" t="s">
        <v>75</v>
      </c>
      <c r="I14" s="4" t="s">
        <v>76</v>
      </c>
      <c r="J14" s="4"/>
      <c r="K14" s="4"/>
    </row>
    <row r="15" spans="1:11" ht="60" customHeight="1" x14ac:dyDescent="0.25">
      <c r="A15" s="4" t="s">
        <v>120</v>
      </c>
      <c r="B15" s="4" t="s">
        <v>121</v>
      </c>
      <c r="C15" s="10" t="s">
        <v>78</v>
      </c>
      <c r="D15" s="4" t="s">
        <v>389</v>
      </c>
      <c r="E15" s="4" t="s">
        <v>388</v>
      </c>
      <c r="F15" s="4" t="s">
        <v>74</v>
      </c>
      <c r="G15" s="4"/>
      <c r="H15" s="4" t="s">
        <v>75</v>
      </c>
      <c r="I15" s="4" t="s">
        <v>76</v>
      </c>
      <c r="J15" s="4"/>
      <c r="K15" s="4"/>
    </row>
    <row r="16" spans="1:11" x14ac:dyDescent="0.25">
      <c r="A16" s="8" t="s">
        <v>169</v>
      </c>
      <c r="B16" s="20" t="s">
        <v>170</v>
      </c>
      <c r="C16" s="21"/>
      <c r="D16" s="21"/>
      <c r="E16" s="21"/>
      <c r="F16" s="21"/>
      <c r="G16" s="21"/>
      <c r="H16" s="21"/>
      <c r="I16" s="21"/>
      <c r="J16" s="21"/>
      <c r="K16" s="22"/>
    </row>
    <row r="17" spans="1:11" ht="60" customHeight="1" x14ac:dyDescent="0.25">
      <c r="A17" s="4" t="s">
        <v>169</v>
      </c>
      <c r="B17" s="4" t="s">
        <v>170</v>
      </c>
      <c r="C17" s="9" t="s">
        <v>71</v>
      </c>
      <c r="D17" s="4" t="s">
        <v>171</v>
      </c>
      <c r="E17" s="4" t="s">
        <v>390</v>
      </c>
      <c r="F17" s="4" t="s">
        <v>74</v>
      </c>
      <c r="G17" s="4"/>
      <c r="H17" s="4" t="s">
        <v>75</v>
      </c>
      <c r="I17" s="4" t="s">
        <v>76</v>
      </c>
      <c r="J17" s="4"/>
      <c r="K17" s="4"/>
    </row>
    <row r="18" spans="1:11" ht="60" customHeight="1" x14ac:dyDescent="0.25">
      <c r="A18" s="4" t="s">
        <v>169</v>
      </c>
      <c r="B18" s="4" t="s">
        <v>170</v>
      </c>
      <c r="C18" s="9" t="s">
        <v>71</v>
      </c>
      <c r="D18" s="4" t="s">
        <v>173</v>
      </c>
      <c r="E18" s="4" t="s">
        <v>390</v>
      </c>
      <c r="F18" s="4" t="s">
        <v>74</v>
      </c>
      <c r="G18" s="4"/>
      <c r="H18" s="4" t="s">
        <v>75</v>
      </c>
      <c r="I18" s="4" t="s">
        <v>76</v>
      </c>
      <c r="J18" s="4"/>
      <c r="K18" s="4"/>
    </row>
    <row r="19" spans="1:11" ht="60" customHeight="1" x14ac:dyDescent="0.25">
      <c r="A19" s="4" t="s">
        <v>169</v>
      </c>
      <c r="B19" s="4" t="s">
        <v>170</v>
      </c>
      <c r="C19" s="10" t="s">
        <v>78</v>
      </c>
      <c r="D19" s="4" t="s">
        <v>391</v>
      </c>
      <c r="E19" s="4" t="s">
        <v>390</v>
      </c>
      <c r="F19" s="4" t="s">
        <v>74</v>
      </c>
      <c r="G19" s="4"/>
      <c r="H19" s="4" t="s">
        <v>75</v>
      </c>
      <c r="I19" s="4" t="s">
        <v>76</v>
      </c>
      <c r="J19" s="4"/>
      <c r="K19" s="4"/>
    </row>
    <row r="20" spans="1:11" x14ac:dyDescent="0.25">
      <c r="A20" s="8" t="s">
        <v>180</v>
      </c>
      <c r="B20" s="20" t="s">
        <v>181</v>
      </c>
      <c r="C20" s="21"/>
      <c r="D20" s="21"/>
      <c r="E20" s="21"/>
      <c r="F20" s="21"/>
      <c r="G20" s="21"/>
      <c r="H20" s="21"/>
      <c r="I20" s="21"/>
      <c r="J20" s="21"/>
      <c r="K20" s="22"/>
    </row>
    <row r="21" spans="1:11" ht="60" customHeight="1" x14ac:dyDescent="0.25">
      <c r="A21" s="4" t="s">
        <v>180</v>
      </c>
      <c r="B21" s="4" t="s">
        <v>181</v>
      </c>
      <c r="C21" s="9" t="s">
        <v>71</v>
      </c>
      <c r="D21" s="4" t="s">
        <v>182</v>
      </c>
      <c r="E21" s="4" t="s">
        <v>392</v>
      </c>
      <c r="F21" s="4" t="s">
        <v>74</v>
      </c>
      <c r="G21" s="4"/>
      <c r="H21" s="4" t="s">
        <v>75</v>
      </c>
      <c r="I21" s="4" t="s">
        <v>76</v>
      </c>
      <c r="J21" s="4"/>
      <c r="K21" s="4"/>
    </row>
    <row r="22" spans="1:11" ht="60" customHeight="1" x14ac:dyDescent="0.25">
      <c r="A22" s="4" t="s">
        <v>180</v>
      </c>
      <c r="B22" s="4" t="s">
        <v>181</v>
      </c>
      <c r="C22" s="10" t="s">
        <v>78</v>
      </c>
      <c r="D22" s="4" t="s">
        <v>393</v>
      </c>
      <c r="E22" s="4" t="s">
        <v>392</v>
      </c>
      <c r="F22" s="4" t="s">
        <v>74</v>
      </c>
      <c r="G22" s="4"/>
      <c r="H22" s="4" t="s">
        <v>75</v>
      </c>
      <c r="I22" s="4" t="s">
        <v>76</v>
      </c>
      <c r="J22" s="4"/>
      <c r="K22" s="4"/>
    </row>
    <row r="23" spans="1:11" ht="60" customHeight="1" x14ac:dyDescent="0.25">
      <c r="A23" s="4" t="s">
        <v>180</v>
      </c>
      <c r="B23" s="4" t="s">
        <v>181</v>
      </c>
      <c r="C23" s="10" t="s">
        <v>78</v>
      </c>
      <c r="D23" s="4" t="s">
        <v>394</v>
      </c>
      <c r="E23" s="4" t="s">
        <v>392</v>
      </c>
      <c r="F23" s="4" t="s">
        <v>74</v>
      </c>
      <c r="G23" s="4"/>
      <c r="H23" s="4" t="s">
        <v>75</v>
      </c>
      <c r="I23" s="4" t="s">
        <v>76</v>
      </c>
      <c r="J23" s="4"/>
      <c r="K23" s="4"/>
    </row>
    <row r="24" spans="1:11" ht="60" customHeight="1" x14ac:dyDescent="0.25">
      <c r="A24" s="4" t="s">
        <v>180</v>
      </c>
      <c r="B24" s="4" t="s">
        <v>181</v>
      </c>
      <c r="C24" s="10" t="s">
        <v>78</v>
      </c>
      <c r="D24" s="4" t="s">
        <v>395</v>
      </c>
      <c r="E24" s="4" t="s">
        <v>392</v>
      </c>
      <c r="F24" s="4" t="s">
        <v>74</v>
      </c>
      <c r="G24" s="4"/>
      <c r="H24" s="4" t="s">
        <v>75</v>
      </c>
      <c r="I24" s="4" t="s">
        <v>76</v>
      </c>
      <c r="J24" s="4"/>
      <c r="K24" s="4"/>
    </row>
    <row r="25" spans="1:11" x14ac:dyDescent="0.25">
      <c r="A25" s="8" t="s">
        <v>197</v>
      </c>
      <c r="B25" s="20" t="s">
        <v>198</v>
      </c>
      <c r="C25" s="21"/>
      <c r="D25" s="21"/>
      <c r="E25" s="21"/>
      <c r="F25" s="21"/>
      <c r="G25" s="21"/>
      <c r="H25" s="21"/>
      <c r="I25" s="21"/>
      <c r="J25" s="21"/>
      <c r="K25" s="22"/>
    </row>
    <row r="26" spans="1:11" ht="60" customHeight="1" x14ac:dyDescent="0.25">
      <c r="A26" s="4" t="s">
        <v>197</v>
      </c>
      <c r="B26" s="4" t="s">
        <v>198</v>
      </c>
      <c r="C26" s="9" t="s">
        <v>71</v>
      </c>
      <c r="D26" s="4" t="s">
        <v>199</v>
      </c>
      <c r="E26" s="4" t="s">
        <v>396</v>
      </c>
      <c r="F26" s="4" t="s">
        <v>74</v>
      </c>
      <c r="G26" s="4"/>
      <c r="H26" s="4" t="s">
        <v>75</v>
      </c>
      <c r="I26" s="4" t="s">
        <v>76</v>
      </c>
      <c r="J26" s="4"/>
      <c r="K26" s="4"/>
    </row>
    <row r="27" spans="1:11" ht="60" customHeight="1" x14ac:dyDescent="0.25">
      <c r="A27" s="4" t="s">
        <v>197</v>
      </c>
      <c r="B27" s="4" t="s">
        <v>198</v>
      </c>
      <c r="C27" s="10" t="s">
        <v>78</v>
      </c>
      <c r="D27" s="4" t="s">
        <v>397</v>
      </c>
      <c r="E27" s="4" t="s">
        <v>396</v>
      </c>
      <c r="F27" s="4" t="s">
        <v>74</v>
      </c>
      <c r="G27" s="4"/>
      <c r="H27" s="4" t="s">
        <v>75</v>
      </c>
      <c r="I27" s="4" t="s">
        <v>76</v>
      </c>
      <c r="J27" s="4"/>
      <c r="K27" s="4"/>
    </row>
    <row r="28" spans="1:11" x14ac:dyDescent="0.25">
      <c r="A28" s="8" t="s">
        <v>202</v>
      </c>
      <c r="B28" s="20" t="s">
        <v>203</v>
      </c>
      <c r="C28" s="21"/>
      <c r="D28" s="21"/>
      <c r="E28" s="21"/>
      <c r="F28" s="21"/>
      <c r="G28" s="21"/>
      <c r="H28" s="21"/>
      <c r="I28" s="21"/>
      <c r="J28" s="21"/>
      <c r="K28" s="22"/>
    </row>
    <row r="29" spans="1:11" ht="60" customHeight="1" x14ac:dyDescent="0.25">
      <c r="A29" s="4" t="s">
        <v>202</v>
      </c>
      <c r="B29" s="4" t="s">
        <v>203</v>
      </c>
      <c r="C29" s="9" t="s">
        <v>71</v>
      </c>
      <c r="D29" s="4" t="s">
        <v>204</v>
      </c>
      <c r="E29" s="4" t="s">
        <v>398</v>
      </c>
      <c r="F29" s="4" t="s">
        <v>74</v>
      </c>
      <c r="G29" s="4"/>
      <c r="H29" s="4" t="s">
        <v>75</v>
      </c>
      <c r="I29" s="4" t="s">
        <v>76</v>
      </c>
      <c r="J29" s="4"/>
      <c r="K29" s="4"/>
    </row>
    <row r="30" spans="1:11" ht="60" customHeight="1" x14ac:dyDescent="0.25">
      <c r="A30" s="4" t="s">
        <v>202</v>
      </c>
      <c r="B30" s="4" t="s">
        <v>203</v>
      </c>
      <c r="C30" s="10" t="s">
        <v>78</v>
      </c>
      <c r="D30" s="4" t="s">
        <v>399</v>
      </c>
      <c r="E30" s="4" t="s">
        <v>398</v>
      </c>
      <c r="F30" s="4" t="s">
        <v>74</v>
      </c>
      <c r="G30" s="4"/>
      <c r="H30" s="4" t="s">
        <v>75</v>
      </c>
      <c r="I30" s="4" t="s">
        <v>76</v>
      </c>
      <c r="J30" s="4"/>
      <c r="K30" s="4"/>
    </row>
    <row r="31" spans="1:11" x14ac:dyDescent="0.25">
      <c r="A31" s="8" t="s">
        <v>207</v>
      </c>
      <c r="B31" s="20" t="s">
        <v>208</v>
      </c>
      <c r="C31" s="21"/>
      <c r="D31" s="21"/>
      <c r="E31" s="21"/>
      <c r="F31" s="21"/>
      <c r="G31" s="21"/>
      <c r="H31" s="21"/>
      <c r="I31" s="21"/>
      <c r="J31" s="21"/>
      <c r="K31" s="22"/>
    </row>
    <row r="32" spans="1:11" ht="60" customHeight="1" x14ac:dyDescent="0.25">
      <c r="A32" s="4" t="s">
        <v>207</v>
      </c>
      <c r="B32" s="4" t="s">
        <v>208</v>
      </c>
      <c r="C32" s="9" t="s">
        <v>71</v>
      </c>
      <c r="D32" s="4" t="s">
        <v>209</v>
      </c>
      <c r="E32" s="4" t="s">
        <v>400</v>
      </c>
      <c r="F32" s="4" t="s">
        <v>74</v>
      </c>
      <c r="G32" s="4"/>
      <c r="H32" s="4" t="s">
        <v>75</v>
      </c>
      <c r="I32" s="4" t="s">
        <v>76</v>
      </c>
      <c r="J32" s="4"/>
      <c r="K32" s="4"/>
    </row>
    <row r="33" spans="1:11" ht="60" customHeight="1" x14ac:dyDescent="0.25">
      <c r="A33" s="4" t="s">
        <v>207</v>
      </c>
      <c r="B33" s="4" t="s">
        <v>208</v>
      </c>
      <c r="C33" s="10" t="s">
        <v>78</v>
      </c>
      <c r="D33" s="4" t="s">
        <v>401</v>
      </c>
      <c r="E33" s="4" t="s">
        <v>400</v>
      </c>
      <c r="F33" s="4" t="s">
        <v>74</v>
      </c>
      <c r="G33" s="4"/>
      <c r="H33" s="4" t="s">
        <v>75</v>
      </c>
      <c r="I33" s="4" t="s">
        <v>76</v>
      </c>
      <c r="J33" s="4"/>
      <c r="K33" s="4"/>
    </row>
  </sheetData>
  <mergeCells count="9">
    <mergeCell ref="A1:K1"/>
    <mergeCell ref="B31:K31"/>
    <mergeCell ref="B8:K8"/>
    <mergeCell ref="B28:K28"/>
    <mergeCell ref="A2:K2"/>
    <mergeCell ref="B12:K12"/>
    <mergeCell ref="B25:K25"/>
    <mergeCell ref="B16:K16"/>
    <mergeCell ref="B20:K20"/>
  </mergeCells>
  <dataValidations count="2">
    <dataValidation type="list" allowBlank="1" sqref="H8:H33" xr:uid="{00000000-0002-0000-0A00-000000000000}">
      <formula1>"Pending,Conformant,Minor NC,Major NC,OFI,N/A"</formula1>
    </dataValidation>
    <dataValidation type="list" allowBlank="1" sqref="I8:I33" xr:uid="{00000000-0002-0000-0A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3"/>
  <sheetViews>
    <sheetView workbookViewId="0">
      <pane ySplit="7" topLeftCell="A8" activePane="bottomLeft" state="frozen"/>
      <selection sqref="A1:K1"/>
      <selection pane="bottomLeft" sqref="A1:K1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55" customWidth="1"/>
    <col min="5" max="7" width="38" customWidth="1"/>
    <col min="8" max="9" width="14" customWidth="1"/>
    <col min="10" max="11" width="16" customWidth="1"/>
  </cols>
  <sheetData>
    <row r="1" spans="1:11" ht="18" x14ac:dyDescent="0.25">
      <c r="A1" s="33" t="s">
        <v>402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8" t="s">
        <v>403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25">
      <c r="A4" s="6" t="s">
        <v>49</v>
      </c>
      <c r="C4" s="6" t="s">
        <v>50</v>
      </c>
      <c r="F4" s="6" t="s">
        <v>51</v>
      </c>
      <c r="I4" s="6" t="s">
        <v>52</v>
      </c>
      <c r="K4" s="6" t="s">
        <v>53</v>
      </c>
    </row>
    <row r="5" spans="1:11" ht="18" customHeight="1" x14ac:dyDescent="0.25">
      <c r="A5" s="6" t="s">
        <v>54</v>
      </c>
      <c r="C5" s="6" t="s">
        <v>55</v>
      </c>
      <c r="D5" t="s">
        <v>56</v>
      </c>
      <c r="F5" s="6" t="s">
        <v>57</v>
      </c>
      <c r="K5" s="7">
        <f>IFERROR(COUNTIF(H8:H33,"Conformant")/(COUNTA(H8:H33)-COUNTIF(H8:H33,"Pending")-COUNTIF(H8:H33,"N/A")),0)</f>
        <v>0</v>
      </c>
    </row>
    <row r="7" spans="1:11" ht="27.95" customHeight="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8" t="s">
        <v>98</v>
      </c>
      <c r="B8" s="20" t="s">
        <v>99</v>
      </c>
      <c r="C8" s="21"/>
      <c r="D8" s="21"/>
      <c r="E8" s="21"/>
      <c r="F8" s="21"/>
      <c r="G8" s="21"/>
      <c r="H8" s="21"/>
      <c r="I8" s="21"/>
      <c r="J8" s="21"/>
      <c r="K8" s="22"/>
    </row>
    <row r="9" spans="1:11" ht="60" customHeight="1" x14ac:dyDescent="0.25">
      <c r="A9" s="4" t="s">
        <v>98</v>
      </c>
      <c r="B9" s="4" t="s">
        <v>99</v>
      </c>
      <c r="C9" s="9" t="s">
        <v>71</v>
      </c>
      <c r="D9" s="4" t="s">
        <v>100</v>
      </c>
      <c r="E9" s="4" t="s">
        <v>404</v>
      </c>
      <c r="F9" s="4" t="s">
        <v>74</v>
      </c>
      <c r="G9" s="4"/>
      <c r="H9" s="4" t="s">
        <v>75</v>
      </c>
      <c r="I9" s="4" t="s">
        <v>76</v>
      </c>
      <c r="J9" s="4"/>
      <c r="K9" s="4"/>
    </row>
    <row r="10" spans="1:11" ht="60" customHeight="1" x14ac:dyDescent="0.25">
      <c r="A10" s="4" t="s">
        <v>98</v>
      </c>
      <c r="B10" s="4" t="s">
        <v>99</v>
      </c>
      <c r="C10" s="10" t="s">
        <v>78</v>
      </c>
      <c r="D10" s="4" t="s">
        <v>405</v>
      </c>
      <c r="E10" s="4" t="s">
        <v>404</v>
      </c>
      <c r="F10" s="4" t="s">
        <v>74</v>
      </c>
      <c r="G10" s="4"/>
      <c r="H10" s="4" t="s">
        <v>75</v>
      </c>
      <c r="I10" s="4" t="s">
        <v>76</v>
      </c>
      <c r="J10" s="4"/>
      <c r="K10" s="4"/>
    </row>
    <row r="11" spans="1:11" x14ac:dyDescent="0.25">
      <c r="A11" s="8" t="s">
        <v>114</v>
      </c>
      <c r="B11" s="20" t="s">
        <v>115</v>
      </c>
      <c r="C11" s="21"/>
      <c r="D11" s="21"/>
      <c r="E11" s="21"/>
      <c r="F11" s="21"/>
      <c r="G11" s="21"/>
      <c r="H11" s="21"/>
      <c r="I11" s="21"/>
      <c r="J11" s="21"/>
      <c r="K11" s="22"/>
    </row>
    <row r="12" spans="1:11" ht="60" customHeight="1" x14ac:dyDescent="0.25">
      <c r="A12" s="4" t="s">
        <v>114</v>
      </c>
      <c r="B12" s="4" t="s">
        <v>115</v>
      </c>
      <c r="C12" s="9" t="s">
        <v>71</v>
      </c>
      <c r="D12" s="4" t="s">
        <v>116</v>
      </c>
      <c r="E12" s="4" t="s">
        <v>406</v>
      </c>
      <c r="F12" s="4" t="s">
        <v>74</v>
      </c>
      <c r="G12" s="4"/>
      <c r="H12" s="4" t="s">
        <v>75</v>
      </c>
      <c r="I12" s="4" t="s">
        <v>76</v>
      </c>
      <c r="J12" s="4"/>
      <c r="K12" s="4"/>
    </row>
    <row r="13" spans="1:11" ht="60" customHeight="1" x14ac:dyDescent="0.25">
      <c r="A13" s="4" t="s">
        <v>114</v>
      </c>
      <c r="B13" s="4" t="s">
        <v>115</v>
      </c>
      <c r="C13" s="9" t="s">
        <v>71</v>
      </c>
      <c r="D13" s="4" t="s">
        <v>118</v>
      </c>
      <c r="E13" s="4" t="s">
        <v>406</v>
      </c>
      <c r="F13" s="4" t="s">
        <v>74</v>
      </c>
      <c r="G13" s="4"/>
      <c r="H13" s="4" t="s">
        <v>75</v>
      </c>
      <c r="I13" s="4" t="s">
        <v>76</v>
      </c>
      <c r="J13" s="4"/>
      <c r="K13" s="4"/>
    </row>
    <row r="14" spans="1:11" ht="60" customHeight="1" x14ac:dyDescent="0.25">
      <c r="A14" s="4" t="s">
        <v>114</v>
      </c>
      <c r="B14" s="4" t="s">
        <v>115</v>
      </c>
      <c r="C14" s="10" t="s">
        <v>78</v>
      </c>
      <c r="D14" s="4" t="s">
        <v>407</v>
      </c>
      <c r="E14" s="4" t="s">
        <v>406</v>
      </c>
      <c r="F14" s="4" t="s">
        <v>74</v>
      </c>
      <c r="G14" s="4"/>
      <c r="H14" s="4" t="s">
        <v>75</v>
      </c>
      <c r="I14" s="4" t="s">
        <v>76</v>
      </c>
      <c r="J14" s="4"/>
      <c r="K14" s="4"/>
    </row>
    <row r="15" spans="1:11" x14ac:dyDescent="0.25">
      <c r="A15" s="8" t="s">
        <v>131</v>
      </c>
      <c r="B15" s="20" t="s">
        <v>132</v>
      </c>
      <c r="C15" s="21"/>
      <c r="D15" s="21"/>
      <c r="E15" s="21"/>
      <c r="F15" s="21"/>
      <c r="G15" s="21"/>
      <c r="H15" s="21"/>
      <c r="I15" s="21"/>
      <c r="J15" s="21"/>
      <c r="K15" s="22"/>
    </row>
    <row r="16" spans="1:11" ht="60" customHeight="1" x14ac:dyDescent="0.25">
      <c r="A16" s="4" t="s">
        <v>131</v>
      </c>
      <c r="B16" s="4" t="s">
        <v>132</v>
      </c>
      <c r="C16" s="9" t="s">
        <v>71</v>
      </c>
      <c r="D16" s="4" t="s">
        <v>133</v>
      </c>
      <c r="E16" s="4" t="s">
        <v>408</v>
      </c>
      <c r="F16" s="4" t="s">
        <v>74</v>
      </c>
      <c r="G16" s="4"/>
      <c r="H16" s="4" t="s">
        <v>75</v>
      </c>
      <c r="I16" s="4" t="s">
        <v>76</v>
      </c>
      <c r="J16" s="4"/>
      <c r="K16" s="4"/>
    </row>
    <row r="17" spans="1:11" ht="60" customHeight="1" x14ac:dyDescent="0.25">
      <c r="A17" s="4" t="s">
        <v>131</v>
      </c>
      <c r="B17" s="4" t="s">
        <v>132</v>
      </c>
      <c r="C17" s="10" t="s">
        <v>78</v>
      </c>
      <c r="D17" s="4" t="s">
        <v>409</v>
      </c>
      <c r="E17" s="4" t="s">
        <v>408</v>
      </c>
      <c r="F17" s="4" t="s">
        <v>74</v>
      </c>
      <c r="G17" s="4"/>
      <c r="H17" s="4" t="s">
        <v>75</v>
      </c>
      <c r="I17" s="4" t="s">
        <v>76</v>
      </c>
      <c r="J17" s="4"/>
      <c r="K17" s="4"/>
    </row>
    <row r="18" spans="1:11" x14ac:dyDescent="0.25">
      <c r="A18" s="8" t="s">
        <v>164</v>
      </c>
      <c r="B18" s="20" t="s">
        <v>165</v>
      </c>
      <c r="C18" s="21"/>
      <c r="D18" s="21"/>
      <c r="E18" s="21"/>
      <c r="F18" s="21"/>
      <c r="G18" s="21"/>
      <c r="H18" s="21"/>
      <c r="I18" s="21"/>
      <c r="J18" s="21"/>
      <c r="K18" s="22"/>
    </row>
    <row r="19" spans="1:11" ht="60" customHeight="1" x14ac:dyDescent="0.25">
      <c r="A19" s="4" t="s">
        <v>164</v>
      </c>
      <c r="B19" s="4" t="s">
        <v>165</v>
      </c>
      <c r="C19" s="9" t="s">
        <v>71</v>
      </c>
      <c r="D19" s="4" t="s">
        <v>166</v>
      </c>
      <c r="E19" s="4" t="s">
        <v>410</v>
      </c>
      <c r="F19" s="4" t="s">
        <v>74</v>
      </c>
      <c r="G19" s="4"/>
      <c r="H19" s="4" t="s">
        <v>75</v>
      </c>
      <c r="I19" s="4" t="s">
        <v>76</v>
      </c>
      <c r="J19" s="4"/>
      <c r="K19" s="4"/>
    </row>
    <row r="20" spans="1:11" ht="60" customHeight="1" x14ac:dyDescent="0.25">
      <c r="A20" s="4" t="s">
        <v>164</v>
      </c>
      <c r="B20" s="4" t="s">
        <v>165</v>
      </c>
      <c r="C20" s="10" t="s">
        <v>78</v>
      </c>
      <c r="D20" s="4" t="s">
        <v>411</v>
      </c>
      <c r="E20" s="4" t="s">
        <v>410</v>
      </c>
      <c r="F20" s="4" t="s">
        <v>74</v>
      </c>
      <c r="G20" s="4"/>
      <c r="H20" s="4" t="s">
        <v>75</v>
      </c>
      <c r="I20" s="4" t="s">
        <v>76</v>
      </c>
      <c r="J20" s="4"/>
      <c r="K20" s="4"/>
    </row>
    <row r="21" spans="1:11" x14ac:dyDescent="0.25">
      <c r="A21" s="8" t="s">
        <v>169</v>
      </c>
      <c r="B21" s="20" t="s">
        <v>170</v>
      </c>
      <c r="C21" s="21"/>
      <c r="D21" s="21"/>
      <c r="E21" s="21"/>
      <c r="F21" s="21"/>
      <c r="G21" s="21"/>
      <c r="H21" s="21"/>
      <c r="I21" s="21"/>
      <c r="J21" s="21"/>
      <c r="K21" s="22"/>
    </row>
    <row r="22" spans="1:11" ht="60" customHeight="1" x14ac:dyDescent="0.25">
      <c r="A22" s="4" t="s">
        <v>169</v>
      </c>
      <c r="B22" s="4" t="s">
        <v>170</v>
      </c>
      <c r="C22" s="9" t="s">
        <v>71</v>
      </c>
      <c r="D22" s="4" t="s">
        <v>171</v>
      </c>
      <c r="E22" s="4" t="s">
        <v>412</v>
      </c>
      <c r="F22" s="4" t="s">
        <v>74</v>
      </c>
      <c r="G22" s="4"/>
      <c r="H22" s="4" t="s">
        <v>75</v>
      </c>
      <c r="I22" s="4" t="s">
        <v>76</v>
      </c>
      <c r="J22" s="4"/>
      <c r="K22" s="4"/>
    </row>
    <row r="23" spans="1:11" ht="60" customHeight="1" x14ac:dyDescent="0.25">
      <c r="A23" s="4" t="s">
        <v>169</v>
      </c>
      <c r="B23" s="4" t="s">
        <v>170</v>
      </c>
      <c r="C23" s="9" t="s">
        <v>71</v>
      </c>
      <c r="D23" s="4" t="s">
        <v>173</v>
      </c>
      <c r="E23" s="4" t="s">
        <v>412</v>
      </c>
      <c r="F23" s="4" t="s">
        <v>74</v>
      </c>
      <c r="G23" s="4"/>
      <c r="H23" s="4" t="s">
        <v>75</v>
      </c>
      <c r="I23" s="4" t="s">
        <v>76</v>
      </c>
      <c r="J23" s="4"/>
      <c r="K23" s="4"/>
    </row>
    <row r="24" spans="1:11" ht="60" customHeight="1" x14ac:dyDescent="0.25">
      <c r="A24" s="4" t="s">
        <v>169</v>
      </c>
      <c r="B24" s="4" t="s">
        <v>170</v>
      </c>
      <c r="C24" s="10" t="s">
        <v>78</v>
      </c>
      <c r="D24" s="4" t="s">
        <v>413</v>
      </c>
      <c r="E24" s="4" t="s">
        <v>412</v>
      </c>
      <c r="F24" s="4" t="s">
        <v>74</v>
      </c>
      <c r="G24" s="4"/>
      <c r="H24" s="4" t="s">
        <v>75</v>
      </c>
      <c r="I24" s="4" t="s">
        <v>76</v>
      </c>
      <c r="J24" s="4"/>
      <c r="K24" s="4"/>
    </row>
    <row r="25" spans="1:11" x14ac:dyDescent="0.25">
      <c r="A25" s="8" t="s">
        <v>180</v>
      </c>
      <c r="B25" s="20" t="s">
        <v>181</v>
      </c>
      <c r="C25" s="21"/>
      <c r="D25" s="21"/>
      <c r="E25" s="21"/>
      <c r="F25" s="21"/>
      <c r="G25" s="21"/>
      <c r="H25" s="21"/>
      <c r="I25" s="21"/>
      <c r="J25" s="21"/>
      <c r="K25" s="22"/>
    </row>
    <row r="26" spans="1:11" ht="60" customHeight="1" x14ac:dyDescent="0.25">
      <c r="A26" s="4" t="s">
        <v>180</v>
      </c>
      <c r="B26" s="4" t="s">
        <v>181</v>
      </c>
      <c r="C26" s="9" t="s">
        <v>71</v>
      </c>
      <c r="D26" s="4" t="s">
        <v>182</v>
      </c>
      <c r="E26" s="4" t="s">
        <v>414</v>
      </c>
      <c r="F26" s="4" t="s">
        <v>74</v>
      </c>
      <c r="G26" s="4"/>
      <c r="H26" s="4" t="s">
        <v>75</v>
      </c>
      <c r="I26" s="4" t="s">
        <v>76</v>
      </c>
      <c r="J26" s="4"/>
      <c r="K26" s="4"/>
    </row>
    <row r="27" spans="1:11" ht="60" customHeight="1" x14ac:dyDescent="0.25">
      <c r="A27" s="4" t="s">
        <v>180</v>
      </c>
      <c r="B27" s="4" t="s">
        <v>181</v>
      </c>
      <c r="C27" s="10" t="s">
        <v>78</v>
      </c>
      <c r="D27" s="4" t="s">
        <v>415</v>
      </c>
      <c r="E27" s="4" t="s">
        <v>414</v>
      </c>
      <c r="F27" s="4" t="s">
        <v>74</v>
      </c>
      <c r="G27" s="4"/>
      <c r="H27" s="4" t="s">
        <v>75</v>
      </c>
      <c r="I27" s="4" t="s">
        <v>76</v>
      </c>
      <c r="J27" s="4"/>
      <c r="K27" s="4"/>
    </row>
    <row r="28" spans="1:11" x14ac:dyDescent="0.25">
      <c r="A28" s="8" t="s">
        <v>202</v>
      </c>
      <c r="B28" s="20" t="s">
        <v>203</v>
      </c>
      <c r="C28" s="21"/>
      <c r="D28" s="21"/>
      <c r="E28" s="21"/>
      <c r="F28" s="21"/>
      <c r="G28" s="21"/>
      <c r="H28" s="21"/>
      <c r="I28" s="21"/>
      <c r="J28" s="21"/>
      <c r="K28" s="22"/>
    </row>
    <row r="29" spans="1:11" ht="60" customHeight="1" x14ac:dyDescent="0.25">
      <c r="A29" s="4" t="s">
        <v>202</v>
      </c>
      <c r="B29" s="4" t="s">
        <v>203</v>
      </c>
      <c r="C29" s="9" t="s">
        <v>71</v>
      </c>
      <c r="D29" s="4" t="s">
        <v>204</v>
      </c>
      <c r="E29" s="4" t="s">
        <v>416</v>
      </c>
      <c r="F29" s="4" t="s">
        <v>74</v>
      </c>
      <c r="G29" s="4"/>
      <c r="H29" s="4" t="s">
        <v>75</v>
      </c>
      <c r="I29" s="4" t="s">
        <v>76</v>
      </c>
      <c r="J29" s="4"/>
      <c r="K29" s="4"/>
    </row>
    <row r="30" spans="1:11" ht="60" customHeight="1" x14ac:dyDescent="0.25">
      <c r="A30" s="4" t="s">
        <v>202</v>
      </c>
      <c r="B30" s="4" t="s">
        <v>203</v>
      </c>
      <c r="C30" s="10" t="s">
        <v>78</v>
      </c>
      <c r="D30" s="4" t="s">
        <v>417</v>
      </c>
      <c r="E30" s="4" t="s">
        <v>416</v>
      </c>
      <c r="F30" s="4" t="s">
        <v>74</v>
      </c>
      <c r="G30" s="4"/>
      <c r="H30" s="4" t="s">
        <v>75</v>
      </c>
      <c r="I30" s="4" t="s">
        <v>76</v>
      </c>
      <c r="J30" s="4"/>
      <c r="K30" s="4"/>
    </row>
    <row r="31" spans="1:11" x14ac:dyDescent="0.25">
      <c r="A31" s="8" t="s">
        <v>207</v>
      </c>
      <c r="B31" s="20" t="s">
        <v>208</v>
      </c>
      <c r="C31" s="21"/>
      <c r="D31" s="21"/>
      <c r="E31" s="21"/>
      <c r="F31" s="21"/>
      <c r="G31" s="21"/>
      <c r="H31" s="21"/>
      <c r="I31" s="21"/>
      <c r="J31" s="21"/>
      <c r="K31" s="22"/>
    </row>
    <row r="32" spans="1:11" ht="60" customHeight="1" x14ac:dyDescent="0.25">
      <c r="A32" s="4" t="s">
        <v>207</v>
      </c>
      <c r="B32" s="4" t="s">
        <v>208</v>
      </c>
      <c r="C32" s="9" t="s">
        <v>71</v>
      </c>
      <c r="D32" s="4" t="s">
        <v>209</v>
      </c>
      <c r="E32" s="4" t="s">
        <v>418</v>
      </c>
      <c r="F32" s="4" t="s">
        <v>74</v>
      </c>
      <c r="G32" s="4"/>
      <c r="H32" s="4" t="s">
        <v>75</v>
      </c>
      <c r="I32" s="4" t="s">
        <v>76</v>
      </c>
      <c r="J32" s="4"/>
      <c r="K32" s="4"/>
    </row>
    <row r="33" spans="1:11" ht="60" customHeight="1" x14ac:dyDescent="0.25">
      <c r="A33" s="4" t="s">
        <v>207</v>
      </c>
      <c r="B33" s="4" t="s">
        <v>208</v>
      </c>
      <c r="C33" s="10" t="s">
        <v>78</v>
      </c>
      <c r="D33" s="4" t="s">
        <v>419</v>
      </c>
      <c r="E33" s="4" t="s">
        <v>418</v>
      </c>
      <c r="F33" s="4" t="s">
        <v>74</v>
      </c>
      <c r="G33" s="4"/>
      <c r="H33" s="4" t="s">
        <v>75</v>
      </c>
      <c r="I33" s="4" t="s">
        <v>76</v>
      </c>
      <c r="J33" s="4"/>
      <c r="K33" s="4"/>
    </row>
  </sheetData>
  <mergeCells count="10">
    <mergeCell ref="A2:K2"/>
    <mergeCell ref="B15:K15"/>
    <mergeCell ref="B25:K25"/>
    <mergeCell ref="B28:K28"/>
    <mergeCell ref="A1:K1"/>
    <mergeCell ref="B31:K31"/>
    <mergeCell ref="B11:K11"/>
    <mergeCell ref="B8:K8"/>
    <mergeCell ref="B18:K18"/>
    <mergeCell ref="B21:K21"/>
  </mergeCells>
  <dataValidations count="2">
    <dataValidation type="list" allowBlank="1" sqref="H8:H33" xr:uid="{00000000-0002-0000-0B00-000000000000}">
      <formula1>"Pending,Conformant,Minor NC,Major NC,OFI,N/A"</formula1>
    </dataValidation>
    <dataValidation type="list" allowBlank="1" sqref="I8:I33" xr:uid="{00000000-0002-0000-0B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8"/>
  <sheetViews>
    <sheetView workbookViewId="0">
      <pane ySplit="7" topLeftCell="A8" activePane="bottomLeft" state="frozen"/>
      <selection sqref="A1:K1"/>
      <selection pane="bottomLeft" sqref="A1:K1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55" customWidth="1"/>
    <col min="5" max="7" width="38" customWidth="1"/>
    <col min="8" max="9" width="14" customWidth="1"/>
    <col min="10" max="11" width="16" customWidth="1"/>
  </cols>
  <sheetData>
    <row r="1" spans="1:11" ht="18" x14ac:dyDescent="0.25">
      <c r="A1" s="33" t="s">
        <v>420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8" t="s">
        <v>421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25">
      <c r="A4" s="6" t="s">
        <v>49</v>
      </c>
      <c r="C4" s="6" t="s">
        <v>50</v>
      </c>
      <c r="F4" s="6" t="s">
        <v>51</v>
      </c>
      <c r="I4" s="6" t="s">
        <v>52</v>
      </c>
      <c r="K4" s="6" t="s">
        <v>53</v>
      </c>
    </row>
    <row r="5" spans="1:11" ht="18" customHeight="1" x14ac:dyDescent="0.25">
      <c r="A5" s="6" t="s">
        <v>54</v>
      </c>
      <c r="C5" s="6" t="s">
        <v>55</v>
      </c>
      <c r="D5" t="s">
        <v>56</v>
      </c>
      <c r="F5" s="6" t="s">
        <v>57</v>
      </c>
      <c r="K5" s="7">
        <f>IFERROR(COUNTIF(H8:H28,"Conformant")/(COUNTA(H8:H28)-COUNTIF(H8:H28,"Pending")-COUNTIF(H8:H28,"N/A")),0)</f>
        <v>0</v>
      </c>
    </row>
    <row r="7" spans="1:11" ht="27.95" customHeight="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8" t="s">
        <v>131</v>
      </c>
      <c r="B8" s="20" t="s">
        <v>132</v>
      </c>
      <c r="C8" s="21"/>
      <c r="D8" s="21"/>
      <c r="E8" s="21"/>
      <c r="F8" s="21"/>
      <c r="G8" s="21"/>
      <c r="H8" s="21"/>
      <c r="I8" s="21"/>
      <c r="J8" s="21"/>
      <c r="K8" s="22"/>
    </row>
    <row r="9" spans="1:11" ht="60" customHeight="1" x14ac:dyDescent="0.25">
      <c r="A9" s="4" t="s">
        <v>131</v>
      </c>
      <c r="B9" s="4" t="s">
        <v>132</v>
      </c>
      <c r="C9" s="9" t="s">
        <v>71</v>
      </c>
      <c r="D9" s="4" t="s">
        <v>133</v>
      </c>
      <c r="E9" s="4" t="s">
        <v>422</v>
      </c>
      <c r="F9" s="4" t="s">
        <v>74</v>
      </c>
      <c r="G9" s="4"/>
      <c r="H9" s="4" t="s">
        <v>75</v>
      </c>
      <c r="I9" s="4" t="s">
        <v>76</v>
      </c>
      <c r="J9" s="4"/>
      <c r="K9" s="4"/>
    </row>
    <row r="10" spans="1:11" ht="60" customHeight="1" x14ac:dyDescent="0.25">
      <c r="A10" s="4" t="s">
        <v>131</v>
      </c>
      <c r="B10" s="4" t="s">
        <v>132</v>
      </c>
      <c r="C10" s="10" t="s">
        <v>78</v>
      </c>
      <c r="D10" s="4" t="s">
        <v>423</v>
      </c>
      <c r="E10" s="4" t="s">
        <v>422</v>
      </c>
      <c r="F10" s="4" t="s">
        <v>74</v>
      </c>
      <c r="G10" s="4"/>
      <c r="H10" s="4" t="s">
        <v>75</v>
      </c>
      <c r="I10" s="4" t="s">
        <v>76</v>
      </c>
      <c r="J10" s="4"/>
      <c r="K10" s="4"/>
    </row>
    <row r="11" spans="1:11" x14ac:dyDescent="0.25">
      <c r="A11" s="8" t="s">
        <v>169</v>
      </c>
      <c r="B11" s="20" t="s">
        <v>170</v>
      </c>
      <c r="C11" s="21"/>
      <c r="D11" s="21"/>
      <c r="E11" s="21"/>
      <c r="F11" s="21"/>
      <c r="G11" s="21"/>
      <c r="H11" s="21"/>
      <c r="I11" s="21"/>
      <c r="J11" s="21"/>
      <c r="K11" s="22"/>
    </row>
    <row r="12" spans="1:11" ht="60" customHeight="1" x14ac:dyDescent="0.25">
      <c r="A12" s="4" t="s">
        <v>169</v>
      </c>
      <c r="B12" s="4" t="s">
        <v>170</v>
      </c>
      <c r="C12" s="9" t="s">
        <v>71</v>
      </c>
      <c r="D12" s="4" t="s">
        <v>171</v>
      </c>
      <c r="E12" s="4" t="s">
        <v>424</v>
      </c>
      <c r="F12" s="4" t="s">
        <v>74</v>
      </c>
      <c r="G12" s="4"/>
      <c r="H12" s="4" t="s">
        <v>75</v>
      </c>
      <c r="I12" s="4" t="s">
        <v>76</v>
      </c>
      <c r="J12" s="4"/>
      <c r="K12" s="4"/>
    </row>
    <row r="13" spans="1:11" ht="60" customHeight="1" x14ac:dyDescent="0.25">
      <c r="A13" s="4" t="s">
        <v>169</v>
      </c>
      <c r="B13" s="4" t="s">
        <v>170</v>
      </c>
      <c r="C13" s="9" t="s">
        <v>71</v>
      </c>
      <c r="D13" s="4" t="s">
        <v>173</v>
      </c>
      <c r="E13" s="4" t="s">
        <v>424</v>
      </c>
      <c r="F13" s="4" t="s">
        <v>74</v>
      </c>
      <c r="G13" s="4"/>
      <c r="H13" s="4" t="s">
        <v>75</v>
      </c>
      <c r="I13" s="4" t="s">
        <v>76</v>
      </c>
      <c r="J13" s="4"/>
      <c r="K13" s="4"/>
    </row>
    <row r="14" spans="1:11" ht="60" customHeight="1" x14ac:dyDescent="0.25">
      <c r="A14" s="4" t="s">
        <v>169</v>
      </c>
      <c r="B14" s="4" t="s">
        <v>170</v>
      </c>
      <c r="C14" s="10" t="s">
        <v>78</v>
      </c>
      <c r="D14" s="4" t="s">
        <v>425</v>
      </c>
      <c r="E14" s="4" t="s">
        <v>424</v>
      </c>
      <c r="F14" s="4" t="s">
        <v>74</v>
      </c>
      <c r="G14" s="4"/>
      <c r="H14" s="4" t="s">
        <v>75</v>
      </c>
      <c r="I14" s="4" t="s">
        <v>76</v>
      </c>
      <c r="J14" s="4"/>
      <c r="K14" s="4"/>
    </row>
    <row r="15" spans="1:11" x14ac:dyDescent="0.25">
      <c r="A15" s="8" t="s">
        <v>185</v>
      </c>
      <c r="B15" s="20" t="s">
        <v>186</v>
      </c>
      <c r="C15" s="21"/>
      <c r="D15" s="21"/>
      <c r="E15" s="21"/>
      <c r="F15" s="21"/>
      <c r="G15" s="21"/>
      <c r="H15" s="21"/>
      <c r="I15" s="21"/>
      <c r="J15" s="21"/>
      <c r="K15" s="22"/>
    </row>
    <row r="16" spans="1:11" ht="60" customHeight="1" x14ac:dyDescent="0.25">
      <c r="A16" s="4" t="s">
        <v>185</v>
      </c>
      <c r="B16" s="4" t="s">
        <v>186</v>
      </c>
      <c r="C16" s="9" t="s">
        <v>71</v>
      </c>
      <c r="D16" s="4" t="s">
        <v>187</v>
      </c>
      <c r="E16" s="4" t="s">
        <v>426</v>
      </c>
      <c r="F16" s="4" t="s">
        <v>74</v>
      </c>
      <c r="G16" s="4"/>
      <c r="H16" s="4" t="s">
        <v>75</v>
      </c>
      <c r="I16" s="4" t="s">
        <v>76</v>
      </c>
      <c r="J16" s="4"/>
      <c r="K16" s="4"/>
    </row>
    <row r="17" spans="1:11" ht="60" customHeight="1" x14ac:dyDescent="0.25">
      <c r="A17" s="4" t="s">
        <v>185</v>
      </c>
      <c r="B17" s="4" t="s">
        <v>186</v>
      </c>
      <c r="C17" s="10" t="s">
        <v>78</v>
      </c>
      <c r="D17" s="4" t="s">
        <v>427</v>
      </c>
      <c r="E17" s="4" t="s">
        <v>426</v>
      </c>
      <c r="F17" s="4" t="s">
        <v>74</v>
      </c>
      <c r="G17" s="4"/>
      <c r="H17" s="4" t="s">
        <v>75</v>
      </c>
      <c r="I17" s="4" t="s">
        <v>76</v>
      </c>
      <c r="J17" s="4"/>
      <c r="K17" s="4"/>
    </row>
    <row r="18" spans="1:11" ht="60" customHeight="1" x14ac:dyDescent="0.25">
      <c r="A18" s="4" t="s">
        <v>185</v>
      </c>
      <c r="B18" s="4" t="s">
        <v>186</v>
      </c>
      <c r="C18" s="10" t="s">
        <v>78</v>
      </c>
      <c r="D18" s="4" t="s">
        <v>428</v>
      </c>
      <c r="E18" s="4" t="s">
        <v>426</v>
      </c>
      <c r="F18" s="4" t="s">
        <v>74</v>
      </c>
      <c r="G18" s="4"/>
      <c r="H18" s="4" t="s">
        <v>75</v>
      </c>
      <c r="I18" s="4" t="s">
        <v>76</v>
      </c>
      <c r="J18" s="4"/>
      <c r="K18" s="4"/>
    </row>
    <row r="19" spans="1:11" ht="60" customHeight="1" x14ac:dyDescent="0.25">
      <c r="A19" s="4" t="s">
        <v>185</v>
      </c>
      <c r="B19" s="4" t="s">
        <v>186</v>
      </c>
      <c r="C19" s="10" t="s">
        <v>78</v>
      </c>
      <c r="D19" s="4" t="s">
        <v>429</v>
      </c>
      <c r="E19" s="4" t="s">
        <v>426</v>
      </c>
      <c r="F19" s="4" t="s">
        <v>74</v>
      </c>
      <c r="G19" s="4"/>
      <c r="H19" s="4" t="s">
        <v>75</v>
      </c>
      <c r="I19" s="4" t="s">
        <v>76</v>
      </c>
      <c r="J19" s="4"/>
      <c r="K19" s="4"/>
    </row>
    <row r="20" spans="1:11" x14ac:dyDescent="0.25">
      <c r="A20" s="8" t="s">
        <v>197</v>
      </c>
      <c r="B20" s="20" t="s">
        <v>198</v>
      </c>
      <c r="C20" s="21"/>
      <c r="D20" s="21"/>
      <c r="E20" s="21"/>
      <c r="F20" s="21"/>
      <c r="G20" s="21"/>
      <c r="H20" s="21"/>
      <c r="I20" s="21"/>
      <c r="J20" s="21"/>
      <c r="K20" s="22"/>
    </row>
    <row r="21" spans="1:11" ht="60" customHeight="1" x14ac:dyDescent="0.25">
      <c r="A21" s="4" t="s">
        <v>197</v>
      </c>
      <c r="B21" s="4" t="s">
        <v>198</v>
      </c>
      <c r="C21" s="9" t="s">
        <v>71</v>
      </c>
      <c r="D21" s="4" t="s">
        <v>199</v>
      </c>
      <c r="E21" s="4" t="s">
        <v>430</v>
      </c>
      <c r="F21" s="4" t="s">
        <v>74</v>
      </c>
      <c r="G21" s="4"/>
      <c r="H21" s="4" t="s">
        <v>75</v>
      </c>
      <c r="I21" s="4" t="s">
        <v>76</v>
      </c>
      <c r="J21" s="4"/>
      <c r="K21" s="4"/>
    </row>
    <row r="22" spans="1:11" ht="60" customHeight="1" x14ac:dyDescent="0.25">
      <c r="A22" s="4" t="s">
        <v>197</v>
      </c>
      <c r="B22" s="4" t="s">
        <v>198</v>
      </c>
      <c r="C22" s="10" t="s">
        <v>78</v>
      </c>
      <c r="D22" s="4" t="s">
        <v>431</v>
      </c>
      <c r="E22" s="4" t="s">
        <v>430</v>
      </c>
      <c r="F22" s="4" t="s">
        <v>74</v>
      </c>
      <c r="G22" s="4"/>
      <c r="H22" s="4" t="s">
        <v>75</v>
      </c>
      <c r="I22" s="4" t="s">
        <v>76</v>
      </c>
      <c r="J22" s="4"/>
      <c r="K22" s="4"/>
    </row>
    <row r="23" spans="1:11" x14ac:dyDescent="0.25">
      <c r="A23" s="8" t="s">
        <v>202</v>
      </c>
      <c r="B23" s="20" t="s">
        <v>203</v>
      </c>
      <c r="C23" s="21"/>
      <c r="D23" s="21"/>
      <c r="E23" s="21"/>
      <c r="F23" s="21"/>
      <c r="G23" s="21"/>
      <c r="H23" s="21"/>
      <c r="I23" s="21"/>
      <c r="J23" s="21"/>
      <c r="K23" s="22"/>
    </row>
    <row r="24" spans="1:11" ht="60" customHeight="1" x14ac:dyDescent="0.25">
      <c r="A24" s="4" t="s">
        <v>202</v>
      </c>
      <c r="B24" s="4" t="s">
        <v>203</v>
      </c>
      <c r="C24" s="9" t="s">
        <v>71</v>
      </c>
      <c r="D24" s="4" t="s">
        <v>204</v>
      </c>
      <c r="E24" s="4" t="s">
        <v>432</v>
      </c>
      <c r="F24" s="4" t="s">
        <v>74</v>
      </c>
      <c r="G24" s="4"/>
      <c r="H24" s="4" t="s">
        <v>75</v>
      </c>
      <c r="I24" s="4" t="s">
        <v>76</v>
      </c>
      <c r="J24" s="4"/>
      <c r="K24" s="4"/>
    </row>
    <row r="25" spans="1:11" ht="60" customHeight="1" x14ac:dyDescent="0.25">
      <c r="A25" s="4" t="s">
        <v>202</v>
      </c>
      <c r="B25" s="4" t="s">
        <v>203</v>
      </c>
      <c r="C25" s="10" t="s">
        <v>78</v>
      </c>
      <c r="D25" s="4" t="s">
        <v>433</v>
      </c>
      <c r="E25" s="4" t="s">
        <v>432</v>
      </c>
      <c r="F25" s="4" t="s">
        <v>74</v>
      </c>
      <c r="G25" s="4"/>
      <c r="H25" s="4" t="s">
        <v>75</v>
      </c>
      <c r="I25" s="4" t="s">
        <v>76</v>
      </c>
      <c r="J25" s="4"/>
      <c r="K25" s="4"/>
    </row>
    <row r="26" spans="1:11" x14ac:dyDescent="0.25">
      <c r="A26" s="8" t="s">
        <v>207</v>
      </c>
      <c r="B26" s="20" t="s">
        <v>208</v>
      </c>
      <c r="C26" s="21"/>
      <c r="D26" s="21"/>
      <c r="E26" s="21"/>
      <c r="F26" s="21"/>
      <c r="G26" s="21"/>
      <c r="H26" s="21"/>
      <c r="I26" s="21"/>
      <c r="J26" s="21"/>
      <c r="K26" s="22"/>
    </row>
    <row r="27" spans="1:11" ht="60" customHeight="1" x14ac:dyDescent="0.25">
      <c r="A27" s="4" t="s">
        <v>207</v>
      </c>
      <c r="B27" s="4" t="s">
        <v>208</v>
      </c>
      <c r="C27" s="9" t="s">
        <v>71</v>
      </c>
      <c r="D27" s="4" t="s">
        <v>209</v>
      </c>
      <c r="E27" s="4" t="s">
        <v>434</v>
      </c>
      <c r="F27" s="4" t="s">
        <v>74</v>
      </c>
      <c r="G27" s="4"/>
      <c r="H27" s="4" t="s">
        <v>75</v>
      </c>
      <c r="I27" s="4" t="s">
        <v>76</v>
      </c>
      <c r="J27" s="4"/>
      <c r="K27" s="4"/>
    </row>
    <row r="28" spans="1:11" ht="60" customHeight="1" x14ac:dyDescent="0.25">
      <c r="A28" s="4" t="s">
        <v>207</v>
      </c>
      <c r="B28" s="4" t="s">
        <v>208</v>
      </c>
      <c r="C28" s="10" t="s">
        <v>78</v>
      </c>
      <c r="D28" s="4" t="s">
        <v>435</v>
      </c>
      <c r="E28" s="4" t="s">
        <v>434</v>
      </c>
      <c r="F28" s="4" t="s">
        <v>74</v>
      </c>
      <c r="G28" s="4"/>
      <c r="H28" s="4" t="s">
        <v>75</v>
      </c>
      <c r="I28" s="4" t="s">
        <v>76</v>
      </c>
      <c r="J28" s="4"/>
      <c r="K28" s="4"/>
    </row>
  </sheetData>
  <mergeCells count="8">
    <mergeCell ref="A1:K1"/>
    <mergeCell ref="B23:K23"/>
    <mergeCell ref="B11:K11"/>
    <mergeCell ref="B8:K8"/>
    <mergeCell ref="B26:K26"/>
    <mergeCell ref="A2:K2"/>
    <mergeCell ref="B15:K15"/>
    <mergeCell ref="B20:K20"/>
  </mergeCells>
  <dataValidations count="2">
    <dataValidation type="list" allowBlank="1" sqref="H8:H28" xr:uid="{00000000-0002-0000-0C00-000000000000}">
      <formula1>"Pending,Conformant,Minor NC,Major NC,OFI,N/A"</formula1>
    </dataValidation>
    <dataValidation type="list" allowBlank="1" sqref="I8:I28" xr:uid="{00000000-0002-0000-0C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2"/>
  <sheetViews>
    <sheetView workbookViewId="0">
      <pane ySplit="7" topLeftCell="A8" activePane="bottomLeft" state="frozen"/>
      <selection activeCell="E9" sqref="E9"/>
      <selection pane="bottomLeft" activeCell="E9" sqref="E9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55" customWidth="1"/>
    <col min="5" max="7" width="38" customWidth="1"/>
    <col min="8" max="9" width="14" customWidth="1"/>
    <col min="10" max="11" width="16" customWidth="1"/>
  </cols>
  <sheetData>
    <row r="1" spans="1:11" ht="18" x14ac:dyDescent="0.25">
      <c r="A1" s="33" t="s">
        <v>436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8" t="s">
        <v>437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25">
      <c r="A4" s="6" t="s">
        <v>49</v>
      </c>
      <c r="C4" s="6" t="s">
        <v>50</v>
      </c>
      <c r="F4" s="6" t="s">
        <v>51</v>
      </c>
      <c r="I4" s="6" t="s">
        <v>52</v>
      </c>
      <c r="K4" s="6" t="s">
        <v>53</v>
      </c>
    </row>
    <row r="5" spans="1:11" ht="18" customHeight="1" x14ac:dyDescent="0.25">
      <c r="A5" s="6" t="s">
        <v>54</v>
      </c>
      <c r="C5" s="6" t="s">
        <v>55</v>
      </c>
      <c r="D5" t="s">
        <v>56</v>
      </c>
      <c r="F5" s="6" t="s">
        <v>57</v>
      </c>
      <c r="K5" s="7">
        <f>IFERROR(COUNTIF(H8:H42,"Conformant")/(COUNTA(H8:H42)-COUNTIF(H8:H42,"Pending")-COUNTIF(H8:H42,"N/A")),0)</f>
        <v>0</v>
      </c>
    </row>
    <row r="7" spans="1:11" ht="27.95" customHeight="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8" t="s">
        <v>81</v>
      </c>
      <c r="B8" s="20" t="s">
        <v>82</v>
      </c>
      <c r="C8" s="21"/>
      <c r="D8" s="21"/>
      <c r="E8" s="21"/>
      <c r="F8" s="21"/>
      <c r="G8" s="21"/>
      <c r="H8" s="21"/>
      <c r="I8" s="21"/>
      <c r="J8" s="21"/>
      <c r="K8" s="22"/>
    </row>
    <row r="9" spans="1:11" ht="60" customHeight="1" x14ac:dyDescent="0.25">
      <c r="A9" s="4" t="s">
        <v>81</v>
      </c>
      <c r="B9" s="4" t="s">
        <v>82</v>
      </c>
      <c r="C9" s="9" t="s">
        <v>71</v>
      </c>
      <c r="D9" s="4" t="s">
        <v>83</v>
      </c>
      <c r="E9" s="4" t="s">
        <v>438</v>
      </c>
      <c r="F9" s="4" t="s">
        <v>74</v>
      </c>
      <c r="G9" s="4"/>
      <c r="H9" s="4" t="s">
        <v>75</v>
      </c>
      <c r="I9" s="4" t="s">
        <v>76</v>
      </c>
      <c r="J9" s="4"/>
      <c r="K9" s="4"/>
    </row>
    <row r="10" spans="1:11" ht="60" customHeight="1" x14ac:dyDescent="0.25">
      <c r="A10" s="4" t="s">
        <v>81</v>
      </c>
      <c r="B10" s="4" t="s">
        <v>82</v>
      </c>
      <c r="C10" s="9" t="s">
        <v>71</v>
      </c>
      <c r="D10" s="4" t="s">
        <v>85</v>
      </c>
      <c r="E10" s="4" t="s">
        <v>438</v>
      </c>
      <c r="F10" s="4" t="s">
        <v>74</v>
      </c>
      <c r="G10" s="4"/>
      <c r="H10" s="4" t="s">
        <v>75</v>
      </c>
      <c r="I10" s="4" t="s">
        <v>76</v>
      </c>
      <c r="J10" s="4"/>
      <c r="K10" s="4"/>
    </row>
    <row r="11" spans="1:11" ht="60" customHeight="1" x14ac:dyDescent="0.25">
      <c r="A11" s="4" t="s">
        <v>81</v>
      </c>
      <c r="B11" s="4" t="s">
        <v>82</v>
      </c>
      <c r="C11" s="10" t="s">
        <v>78</v>
      </c>
      <c r="D11" s="4" t="s">
        <v>439</v>
      </c>
      <c r="E11" s="4" t="s">
        <v>438</v>
      </c>
      <c r="F11" s="4" t="s">
        <v>74</v>
      </c>
      <c r="G11" s="4"/>
      <c r="H11" s="4" t="s">
        <v>75</v>
      </c>
      <c r="I11" s="4" t="s">
        <v>76</v>
      </c>
      <c r="J11" s="4"/>
      <c r="K11" s="4"/>
    </row>
    <row r="12" spans="1:11" x14ac:dyDescent="0.25">
      <c r="A12" s="8" t="s">
        <v>114</v>
      </c>
      <c r="B12" s="20" t="s">
        <v>115</v>
      </c>
      <c r="C12" s="21"/>
      <c r="D12" s="21"/>
      <c r="E12" s="21"/>
      <c r="F12" s="21"/>
      <c r="G12" s="21"/>
      <c r="H12" s="21"/>
      <c r="I12" s="21"/>
      <c r="J12" s="21"/>
      <c r="K12" s="22"/>
    </row>
    <row r="13" spans="1:11" ht="60" customHeight="1" x14ac:dyDescent="0.25">
      <c r="A13" s="4" t="s">
        <v>114</v>
      </c>
      <c r="B13" s="4" t="s">
        <v>115</v>
      </c>
      <c r="C13" s="9" t="s">
        <v>71</v>
      </c>
      <c r="D13" s="4" t="s">
        <v>116</v>
      </c>
      <c r="E13" s="4" t="s">
        <v>440</v>
      </c>
      <c r="F13" s="4" t="s">
        <v>74</v>
      </c>
      <c r="G13" s="4"/>
      <c r="H13" s="4" t="s">
        <v>75</v>
      </c>
      <c r="I13" s="4" t="s">
        <v>76</v>
      </c>
      <c r="J13" s="4"/>
      <c r="K13" s="4"/>
    </row>
    <row r="14" spans="1:11" ht="60" customHeight="1" x14ac:dyDescent="0.25">
      <c r="A14" s="4" t="s">
        <v>114</v>
      </c>
      <c r="B14" s="4" t="s">
        <v>115</v>
      </c>
      <c r="C14" s="9" t="s">
        <v>71</v>
      </c>
      <c r="D14" s="4" t="s">
        <v>118</v>
      </c>
      <c r="E14" s="4" t="s">
        <v>440</v>
      </c>
      <c r="F14" s="4" t="s">
        <v>74</v>
      </c>
      <c r="G14" s="4"/>
      <c r="H14" s="4" t="s">
        <v>75</v>
      </c>
      <c r="I14" s="4" t="s">
        <v>76</v>
      </c>
      <c r="J14" s="4"/>
      <c r="K14" s="4"/>
    </row>
    <row r="15" spans="1:11" ht="60" customHeight="1" x14ac:dyDescent="0.25">
      <c r="A15" s="4" t="s">
        <v>114</v>
      </c>
      <c r="B15" s="4" t="s">
        <v>115</v>
      </c>
      <c r="C15" s="10" t="s">
        <v>78</v>
      </c>
      <c r="D15" s="4" t="s">
        <v>441</v>
      </c>
      <c r="E15" s="4" t="s">
        <v>440</v>
      </c>
      <c r="F15" s="4" t="s">
        <v>74</v>
      </c>
      <c r="G15" s="4"/>
      <c r="H15" s="4" t="s">
        <v>75</v>
      </c>
      <c r="I15" s="4" t="s">
        <v>76</v>
      </c>
      <c r="J15" s="4"/>
      <c r="K15" s="4"/>
    </row>
    <row r="16" spans="1:11" x14ac:dyDescent="0.25">
      <c r="A16" s="8" t="s">
        <v>120</v>
      </c>
      <c r="B16" s="20" t="s">
        <v>121</v>
      </c>
      <c r="C16" s="21"/>
      <c r="D16" s="21"/>
      <c r="E16" s="21"/>
      <c r="F16" s="21"/>
      <c r="G16" s="21"/>
      <c r="H16" s="21"/>
      <c r="I16" s="21"/>
      <c r="J16" s="21"/>
      <c r="K16" s="22"/>
    </row>
    <row r="17" spans="1:11" ht="60" customHeight="1" x14ac:dyDescent="0.25">
      <c r="A17" s="4" t="s">
        <v>120</v>
      </c>
      <c r="B17" s="4" t="s">
        <v>121</v>
      </c>
      <c r="C17" s="9" t="s">
        <v>71</v>
      </c>
      <c r="D17" s="4" t="s">
        <v>122</v>
      </c>
      <c r="E17" s="4" t="s">
        <v>442</v>
      </c>
      <c r="F17" s="4" t="s">
        <v>74</v>
      </c>
      <c r="G17" s="4"/>
      <c r="H17" s="4" t="s">
        <v>75</v>
      </c>
      <c r="I17" s="4" t="s">
        <v>76</v>
      </c>
      <c r="J17" s="4"/>
      <c r="K17" s="4"/>
    </row>
    <row r="18" spans="1:11" ht="60" customHeight="1" x14ac:dyDescent="0.25">
      <c r="A18" s="4" t="s">
        <v>120</v>
      </c>
      <c r="B18" s="4" t="s">
        <v>121</v>
      </c>
      <c r="C18" s="9" t="s">
        <v>71</v>
      </c>
      <c r="D18" s="4" t="s">
        <v>124</v>
      </c>
      <c r="E18" s="4" t="s">
        <v>442</v>
      </c>
      <c r="F18" s="4" t="s">
        <v>74</v>
      </c>
      <c r="G18" s="4"/>
      <c r="H18" s="4" t="s">
        <v>75</v>
      </c>
      <c r="I18" s="4" t="s">
        <v>76</v>
      </c>
      <c r="J18" s="4"/>
      <c r="K18" s="4"/>
    </row>
    <row r="19" spans="1:11" ht="60" customHeight="1" x14ac:dyDescent="0.25">
      <c r="A19" s="4" t="s">
        <v>120</v>
      </c>
      <c r="B19" s="4" t="s">
        <v>121</v>
      </c>
      <c r="C19" s="10" t="s">
        <v>78</v>
      </c>
      <c r="D19" s="4" t="s">
        <v>443</v>
      </c>
      <c r="E19" s="4" t="s">
        <v>442</v>
      </c>
      <c r="F19" s="4" t="s">
        <v>74</v>
      </c>
      <c r="G19" s="4"/>
      <c r="H19" s="4" t="s">
        <v>75</v>
      </c>
      <c r="I19" s="4" t="s">
        <v>76</v>
      </c>
      <c r="J19" s="4"/>
      <c r="K19" s="4"/>
    </row>
    <row r="20" spans="1:11" x14ac:dyDescent="0.25">
      <c r="A20" s="8" t="s">
        <v>126</v>
      </c>
      <c r="B20" s="20" t="s">
        <v>127</v>
      </c>
      <c r="C20" s="21"/>
      <c r="D20" s="21"/>
      <c r="E20" s="21"/>
      <c r="F20" s="21"/>
      <c r="G20" s="21"/>
      <c r="H20" s="21"/>
      <c r="I20" s="21"/>
      <c r="J20" s="21"/>
      <c r="K20" s="22"/>
    </row>
    <row r="21" spans="1:11" ht="60" customHeight="1" x14ac:dyDescent="0.25">
      <c r="A21" s="4" t="s">
        <v>126</v>
      </c>
      <c r="B21" s="4" t="s">
        <v>127</v>
      </c>
      <c r="C21" s="9" t="s">
        <v>71</v>
      </c>
      <c r="D21" s="4" t="s">
        <v>128</v>
      </c>
      <c r="E21" s="4" t="s">
        <v>444</v>
      </c>
      <c r="F21" s="4" t="s">
        <v>74</v>
      </c>
      <c r="G21" s="4"/>
      <c r="H21" s="4" t="s">
        <v>75</v>
      </c>
      <c r="I21" s="4" t="s">
        <v>76</v>
      </c>
      <c r="J21" s="4"/>
      <c r="K21" s="4"/>
    </row>
    <row r="22" spans="1:11" ht="60" customHeight="1" x14ac:dyDescent="0.25">
      <c r="A22" s="4" t="s">
        <v>126</v>
      </c>
      <c r="B22" s="4" t="s">
        <v>127</v>
      </c>
      <c r="C22" s="10" t="s">
        <v>78</v>
      </c>
      <c r="D22" s="4" t="s">
        <v>445</v>
      </c>
      <c r="E22" s="4" t="s">
        <v>444</v>
      </c>
      <c r="F22" s="4" t="s">
        <v>74</v>
      </c>
      <c r="G22" s="4"/>
      <c r="H22" s="4" t="s">
        <v>75</v>
      </c>
      <c r="I22" s="4" t="s">
        <v>76</v>
      </c>
      <c r="J22" s="4"/>
      <c r="K22" s="4"/>
    </row>
    <row r="23" spans="1:11" x14ac:dyDescent="0.25">
      <c r="A23" s="8" t="s">
        <v>131</v>
      </c>
      <c r="B23" s="20" t="s">
        <v>132</v>
      </c>
      <c r="C23" s="21"/>
      <c r="D23" s="21"/>
      <c r="E23" s="21"/>
      <c r="F23" s="21"/>
      <c r="G23" s="21"/>
      <c r="H23" s="21"/>
      <c r="I23" s="21"/>
      <c r="J23" s="21"/>
      <c r="K23" s="22"/>
    </row>
    <row r="24" spans="1:11" ht="60" customHeight="1" x14ac:dyDescent="0.25">
      <c r="A24" s="4" t="s">
        <v>131</v>
      </c>
      <c r="B24" s="4" t="s">
        <v>132</v>
      </c>
      <c r="C24" s="9" t="s">
        <v>71</v>
      </c>
      <c r="D24" s="4" t="s">
        <v>133</v>
      </c>
      <c r="E24" s="4" t="s">
        <v>446</v>
      </c>
      <c r="F24" s="4" t="s">
        <v>74</v>
      </c>
      <c r="G24" s="4"/>
      <c r="H24" s="4" t="s">
        <v>75</v>
      </c>
      <c r="I24" s="4" t="s">
        <v>76</v>
      </c>
      <c r="J24" s="4"/>
      <c r="K24" s="4"/>
    </row>
    <row r="25" spans="1:11" ht="60" customHeight="1" x14ac:dyDescent="0.25">
      <c r="A25" s="4" t="s">
        <v>131</v>
      </c>
      <c r="B25" s="4" t="s">
        <v>132</v>
      </c>
      <c r="C25" s="10" t="s">
        <v>78</v>
      </c>
      <c r="D25" s="4" t="s">
        <v>447</v>
      </c>
      <c r="E25" s="4" t="s">
        <v>446</v>
      </c>
      <c r="F25" s="4" t="s">
        <v>74</v>
      </c>
      <c r="G25" s="4"/>
      <c r="H25" s="4" t="s">
        <v>75</v>
      </c>
      <c r="I25" s="4" t="s">
        <v>76</v>
      </c>
      <c r="J25" s="4"/>
      <c r="K25" s="4"/>
    </row>
    <row r="26" spans="1:11" x14ac:dyDescent="0.25">
      <c r="A26" s="8" t="s">
        <v>169</v>
      </c>
      <c r="B26" s="20" t="s">
        <v>170</v>
      </c>
      <c r="C26" s="21"/>
      <c r="D26" s="21"/>
      <c r="E26" s="21"/>
      <c r="F26" s="21"/>
      <c r="G26" s="21"/>
      <c r="H26" s="21"/>
      <c r="I26" s="21"/>
      <c r="J26" s="21"/>
      <c r="K26" s="22"/>
    </row>
    <row r="27" spans="1:11" ht="60" customHeight="1" x14ac:dyDescent="0.25">
      <c r="A27" s="4" t="s">
        <v>169</v>
      </c>
      <c r="B27" s="4" t="s">
        <v>170</v>
      </c>
      <c r="C27" s="9" t="s">
        <v>71</v>
      </c>
      <c r="D27" s="4" t="s">
        <v>171</v>
      </c>
      <c r="E27" s="4" t="s">
        <v>448</v>
      </c>
      <c r="F27" s="4" t="s">
        <v>74</v>
      </c>
      <c r="G27" s="4"/>
      <c r="H27" s="4" t="s">
        <v>75</v>
      </c>
      <c r="I27" s="4" t="s">
        <v>76</v>
      </c>
      <c r="J27" s="4"/>
      <c r="K27" s="4"/>
    </row>
    <row r="28" spans="1:11" ht="60" customHeight="1" x14ac:dyDescent="0.25">
      <c r="A28" s="4" t="s">
        <v>169</v>
      </c>
      <c r="B28" s="4" t="s">
        <v>170</v>
      </c>
      <c r="C28" s="9" t="s">
        <v>71</v>
      </c>
      <c r="D28" s="4" t="s">
        <v>173</v>
      </c>
      <c r="E28" s="4" t="s">
        <v>448</v>
      </c>
      <c r="F28" s="4" t="s">
        <v>74</v>
      </c>
      <c r="G28" s="4"/>
      <c r="H28" s="4" t="s">
        <v>75</v>
      </c>
      <c r="I28" s="4" t="s">
        <v>76</v>
      </c>
      <c r="J28" s="4"/>
      <c r="K28" s="4"/>
    </row>
    <row r="29" spans="1:11" ht="60" customHeight="1" x14ac:dyDescent="0.25">
      <c r="A29" s="4" t="s">
        <v>169</v>
      </c>
      <c r="B29" s="4" t="s">
        <v>170</v>
      </c>
      <c r="C29" s="10" t="s">
        <v>78</v>
      </c>
      <c r="D29" s="4" t="s">
        <v>449</v>
      </c>
      <c r="E29" s="4" t="s">
        <v>448</v>
      </c>
      <c r="F29" s="4" t="s">
        <v>74</v>
      </c>
      <c r="G29" s="4"/>
      <c r="H29" s="4" t="s">
        <v>75</v>
      </c>
      <c r="I29" s="4" t="s">
        <v>76</v>
      </c>
      <c r="J29" s="4"/>
      <c r="K29" s="4"/>
    </row>
    <row r="30" spans="1:11" ht="60" customHeight="1" x14ac:dyDescent="0.25">
      <c r="A30" s="4" t="s">
        <v>169</v>
      </c>
      <c r="B30" s="4" t="s">
        <v>170</v>
      </c>
      <c r="C30" s="10" t="s">
        <v>78</v>
      </c>
      <c r="D30" s="4" t="s">
        <v>450</v>
      </c>
      <c r="E30" s="4" t="s">
        <v>448</v>
      </c>
      <c r="F30" s="4" t="s">
        <v>74</v>
      </c>
      <c r="G30" s="4"/>
      <c r="H30" s="4" t="s">
        <v>75</v>
      </c>
      <c r="I30" s="4" t="s">
        <v>76</v>
      </c>
      <c r="J30" s="4"/>
      <c r="K30" s="4"/>
    </row>
    <row r="31" spans="1:11" x14ac:dyDescent="0.25">
      <c r="A31" s="8" t="s">
        <v>175</v>
      </c>
      <c r="B31" s="20" t="s">
        <v>176</v>
      </c>
      <c r="C31" s="21"/>
      <c r="D31" s="21"/>
      <c r="E31" s="21"/>
      <c r="F31" s="21"/>
      <c r="G31" s="21"/>
      <c r="H31" s="21"/>
      <c r="I31" s="21"/>
      <c r="J31" s="21"/>
      <c r="K31" s="22"/>
    </row>
    <row r="32" spans="1:11" ht="60" customHeight="1" x14ac:dyDescent="0.25">
      <c r="A32" s="4" t="s">
        <v>175</v>
      </c>
      <c r="B32" s="4" t="s">
        <v>176</v>
      </c>
      <c r="C32" s="9" t="s">
        <v>71</v>
      </c>
      <c r="D32" s="4" t="s">
        <v>177</v>
      </c>
      <c r="E32" s="4" t="s">
        <v>451</v>
      </c>
      <c r="F32" s="4" t="s">
        <v>74</v>
      </c>
      <c r="G32" s="4"/>
      <c r="H32" s="4" t="s">
        <v>75</v>
      </c>
      <c r="I32" s="4" t="s">
        <v>76</v>
      </c>
      <c r="J32" s="4"/>
      <c r="K32" s="4"/>
    </row>
    <row r="33" spans="1:11" ht="60" customHeight="1" x14ac:dyDescent="0.25">
      <c r="A33" s="4" t="s">
        <v>175</v>
      </c>
      <c r="B33" s="4" t="s">
        <v>176</v>
      </c>
      <c r="C33" s="10" t="s">
        <v>78</v>
      </c>
      <c r="D33" s="4" t="s">
        <v>452</v>
      </c>
      <c r="E33" s="4" t="s">
        <v>451</v>
      </c>
      <c r="F33" s="4" t="s">
        <v>74</v>
      </c>
      <c r="G33" s="4"/>
      <c r="H33" s="4" t="s">
        <v>75</v>
      </c>
      <c r="I33" s="4" t="s">
        <v>76</v>
      </c>
      <c r="J33" s="4"/>
      <c r="K33" s="4"/>
    </row>
    <row r="34" spans="1:11" x14ac:dyDescent="0.25">
      <c r="A34" s="8" t="s">
        <v>197</v>
      </c>
      <c r="B34" s="20" t="s">
        <v>198</v>
      </c>
      <c r="C34" s="21"/>
      <c r="D34" s="21"/>
      <c r="E34" s="21"/>
      <c r="F34" s="21"/>
      <c r="G34" s="21"/>
      <c r="H34" s="21"/>
      <c r="I34" s="21"/>
      <c r="J34" s="21"/>
      <c r="K34" s="22"/>
    </row>
    <row r="35" spans="1:11" ht="60" customHeight="1" x14ac:dyDescent="0.25">
      <c r="A35" s="4" t="s">
        <v>197</v>
      </c>
      <c r="B35" s="4" t="s">
        <v>198</v>
      </c>
      <c r="C35" s="9" t="s">
        <v>71</v>
      </c>
      <c r="D35" s="4" t="s">
        <v>199</v>
      </c>
      <c r="E35" s="4" t="s">
        <v>453</v>
      </c>
      <c r="F35" s="4" t="s">
        <v>74</v>
      </c>
      <c r="G35" s="4"/>
      <c r="H35" s="4" t="s">
        <v>75</v>
      </c>
      <c r="I35" s="4" t="s">
        <v>76</v>
      </c>
      <c r="J35" s="4"/>
      <c r="K35" s="4"/>
    </row>
    <row r="36" spans="1:11" ht="60" customHeight="1" x14ac:dyDescent="0.25">
      <c r="A36" s="4" t="s">
        <v>197</v>
      </c>
      <c r="B36" s="4" t="s">
        <v>198</v>
      </c>
      <c r="C36" s="10" t="s">
        <v>78</v>
      </c>
      <c r="D36" s="4" t="s">
        <v>454</v>
      </c>
      <c r="E36" s="4" t="s">
        <v>453</v>
      </c>
      <c r="F36" s="4" t="s">
        <v>74</v>
      </c>
      <c r="G36" s="4"/>
      <c r="H36" s="4" t="s">
        <v>75</v>
      </c>
      <c r="I36" s="4" t="s">
        <v>76</v>
      </c>
      <c r="J36" s="4"/>
      <c r="K36" s="4"/>
    </row>
    <row r="37" spans="1:11" x14ac:dyDescent="0.25">
      <c r="A37" s="8" t="s">
        <v>202</v>
      </c>
      <c r="B37" s="20" t="s">
        <v>203</v>
      </c>
      <c r="C37" s="21"/>
      <c r="D37" s="21"/>
      <c r="E37" s="21"/>
      <c r="F37" s="21"/>
      <c r="G37" s="21"/>
      <c r="H37" s="21"/>
      <c r="I37" s="21"/>
      <c r="J37" s="21"/>
      <c r="K37" s="22"/>
    </row>
    <row r="38" spans="1:11" ht="60" customHeight="1" x14ac:dyDescent="0.25">
      <c r="A38" s="4" t="s">
        <v>202</v>
      </c>
      <c r="B38" s="4" t="s">
        <v>203</v>
      </c>
      <c r="C38" s="9" t="s">
        <v>71</v>
      </c>
      <c r="D38" s="4" t="s">
        <v>204</v>
      </c>
      <c r="E38" s="4" t="s">
        <v>455</v>
      </c>
      <c r="F38" s="4" t="s">
        <v>74</v>
      </c>
      <c r="G38" s="4"/>
      <c r="H38" s="4" t="s">
        <v>75</v>
      </c>
      <c r="I38" s="4" t="s">
        <v>76</v>
      </c>
      <c r="J38" s="4"/>
      <c r="K38" s="4"/>
    </row>
    <row r="39" spans="1:11" ht="60" customHeight="1" x14ac:dyDescent="0.25">
      <c r="A39" s="4" t="s">
        <v>202</v>
      </c>
      <c r="B39" s="4" t="s">
        <v>203</v>
      </c>
      <c r="C39" s="10" t="s">
        <v>78</v>
      </c>
      <c r="D39" s="4" t="s">
        <v>456</v>
      </c>
      <c r="E39" s="4" t="s">
        <v>455</v>
      </c>
      <c r="F39" s="4" t="s">
        <v>74</v>
      </c>
      <c r="G39" s="4"/>
      <c r="H39" s="4" t="s">
        <v>75</v>
      </c>
      <c r="I39" s="4" t="s">
        <v>76</v>
      </c>
      <c r="J39" s="4"/>
      <c r="K39" s="4"/>
    </row>
    <row r="40" spans="1:11" x14ac:dyDescent="0.25">
      <c r="A40" s="8" t="s">
        <v>207</v>
      </c>
      <c r="B40" s="20" t="s">
        <v>208</v>
      </c>
      <c r="C40" s="21"/>
      <c r="D40" s="21"/>
      <c r="E40" s="21"/>
      <c r="F40" s="21"/>
      <c r="G40" s="21"/>
      <c r="H40" s="21"/>
      <c r="I40" s="21"/>
      <c r="J40" s="21"/>
      <c r="K40" s="22"/>
    </row>
    <row r="41" spans="1:11" ht="60" customHeight="1" x14ac:dyDescent="0.25">
      <c r="A41" s="4" t="s">
        <v>207</v>
      </c>
      <c r="B41" s="4" t="s">
        <v>208</v>
      </c>
      <c r="C41" s="9" t="s">
        <v>71</v>
      </c>
      <c r="D41" s="4" t="s">
        <v>209</v>
      </c>
      <c r="E41" s="4" t="s">
        <v>457</v>
      </c>
      <c r="F41" s="4" t="s">
        <v>74</v>
      </c>
      <c r="G41" s="4"/>
      <c r="H41" s="4" t="s">
        <v>75</v>
      </c>
      <c r="I41" s="4" t="s">
        <v>76</v>
      </c>
      <c r="J41" s="4"/>
      <c r="K41" s="4"/>
    </row>
    <row r="42" spans="1:11" ht="60" customHeight="1" x14ac:dyDescent="0.25">
      <c r="A42" s="4" t="s">
        <v>207</v>
      </c>
      <c r="B42" s="4" t="s">
        <v>208</v>
      </c>
      <c r="C42" s="10" t="s">
        <v>78</v>
      </c>
      <c r="D42" s="4" t="s">
        <v>458</v>
      </c>
      <c r="E42" s="4" t="s">
        <v>457</v>
      </c>
      <c r="F42" s="4" t="s">
        <v>74</v>
      </c>
      <c r="G42" s="4"/>
      <c r="H42" s="4" t="s">
        <v>75</v>
      </c>
      <c r="I42" s="4" t="s">
        <v>76</v>
      </c>
      <c r="J42" s="4"/>
      <c r="K42" s="4"/>
    </row>
  </sheetData>
  <mergeCells count="12">
    <mergeCell ref="A1:K1"/>
    <mergeCell ref="B37:K37"/>
    <mergeCell ref="B40:K40"/>
    <mergeCell ref="A2:K2"/>
    <mergeCell ref="B12:K12"/>
    <mergeCell ref="B16:K16"/>
    <mergeCell ref="B20:K20"/>
    <mergeCell ref="B31:K31"/>
    <mergeCell ref="B23:K23"/>
    <mergeCell ref="B8:K8"/>
    <mergeCell ref="B34:K34"/>
    <mergeCell ref="B26:K26"/>
  </mergeCells>
  <dataValidations count="2">
    <dataValidation type="list" allowBlank="1" sqref="H8:H42" xr:uid="{00000000-0002-0000-0D00-000000000000}">
      <formula1>"Pending,Conformant,Minor NC,Major NC,OFI,N/A"</formula1>
    </dataValidation>
    <dataValidation type="list" allowBlank="1" sqref="I8:I42" xr:uid="{00000000-0002-0000-0D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3"/>
  <sheetViews>
    <sheetView workbookViewId="0">
      <pane ySplit="7" topLeftCell="A8" activePane="bottomLeft" state="frozen"/>
      <selection activeCell="E9" sqref="E9"/>
      <selection pane="bottomLeft" activeCell="E9" sqref="E9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55" customWidth="1"/>
    <col min="5" max="7" width="38" customWidth="1"/>
    <col min="8" max="9" width="14" customWidth="1"/>
    <col min="10" max="11" width="16" customWidth="1"/>
  </cols>
  <sheetData>
    <row r="1" spans="1:11" ht="18" x14ac:dyDescent="0.25">
      <c r="A1" s="33" t="s">
        <v>459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8" t="s">
        <v>460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25">
      <c r="A4" s="6" t="s">
        <v>49</v>
      </c>
      <c r="C4" s="6" t="s">
        <v>50</v>
      </c>
      <c r="F4" s="6" t="s">
        <v>51</v>
      </c>
      <c r="I4" s="6" t="s">
        <v>52</v>
      </c>
      <c r="K4" s="6" t="s">
        <v>53</v>
      </c>
    </row>
    <row r="5" spans="1:11" ht="18" customHeight="1" x14ac:dyDescent="0.25">
      <c r="A5" s="6" t="s">
        <v>54</v>
      </c>
      <c r="C5" s="6" t="s">
        <v>55</v>
      </c>
      <c r="D5" t="s">
        <v>56</v>
      </c>
      <c r="F5" s="6" t="s">
        <v>57</v>
      </c>
      <c r="K5" s="7">
        <f>IFERROR(COUNTIF(H8:H33,"Conformant")/(COUNTA(H8:H33)-COUNTIF(H8:H33,"Pending")-COUNTIF(H8:H33,"N/A")),0)</f>
        <v>0</v>
      </c>
    </row>
    <row r="7" spans="1:11" ht="27.95" customHeight="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8" t="s">
        <v>131</v>
      </c>
      <c r="B8" s="20" t="s">
        <v>132</v>
      </c>
      <c r="C8" s="21"/>
      <c r="D8" s="21"/>
      <c r="E8" s="21"/>
      <c r="F8" s="21"/>
      <c r="G8" s="21"/>
      <c r="H8" s="21"/>
      <c r="I8" s="21"/>
      <c r="J8" s="21"/>
      <c r="K8" s="22"/>
    </row>
    <row r="9" spans="1:11" ht="60" customHeight="1" x14ac:dyDescent="0.25">
      <c r="A9" s="4" t="s">
        <v>131</v>
      </c>
      <c r="B9" s="4" t="s">
        <v>132</v>
      </c>
      <c r="C9" s="9" t="s">
        <v>71</v>
      </c>
      <c r="D9" s="4" t="s">
        <v>133</v>
      </c>
      <c r="E9" s="4" t="s">
        <v>461</v>
      </c>
      <c r="F9" s="4" t="s">
        <v>74</v>
      </c>
      <c r="G9" s="4"/>
      <c r="H9" s="4" t="s">
        <v>75</v>
      </c>
      <c r="I9" s="4" t="s">
        <v>76</v>
      </c>
      <c r="J9" s="4"/>
      <c r="K9" s="4"/>
    </row>
    <row r="10" spans="1:11" ht="60" customHeight="1" x14ac:dyDescent="0.25">
      <c r="A10" s="4" t="s">
        <v>131</v>
      </c>
      <c r="B10" s="4" t="s">
        <v>132</v>
      </c>
      <c r="C10" s="10" t="s">
        <v>78</v>
      </c>
      <c r="D10" s="4" t="s">
        <v>462</v>
      </c>
      <c r="E10" s="4" t="s">
        <v>461</v>
      </c>
      <c r="F10" s="4" t="s">
        <v>74</v>
      </c>
      <c r="G10" s="4"/>
      <c r="H10" s="4" t="s">
        <v>75</v>
      </c>
      <c r="I10" s="4" t="s">
        <v>76</v>
      </c>
      <c r="J10" s="4"/>
      <c r="K10" s="4"/>
    </row>
    <row r="11" spans="1:11" x14ac:dyDescent="0.25">
      <c r="A11" s="8" t="s">
        <v>169</v>
      </c>
      <c r="B11" s="20" t="s">
        <v>170</v>
      </c>
      <c r="C11" s="21"/>
      <c r="D11" s="21"/>
      <c r="E11" s="21"/>
      <c r="F11" s="21"/>
      <c r="G11" s="21"/>
      <c r="H11" s="21"/>
      <c r="I11" s="21"/>
      <c r="J11" s="21"/>
      <c r="K11" s="22"/>
    </row>
    <row r="12" spans="1:11" ht="60" customHeight="1" x14ac:dyDescent="0.25">
      <c r="A12" s="4" t="s">
        <v>169</v>
      </c>
      <c r="B12" s="4" t="s">
        <v>170</v>
      </c>
      <c r="C12" s="9" t="s">
        <v>71</v>
      </c>
      <c r="D12" s="4" t="s">
        <v>171</v>
      </c>
      <c r="E12" s="4" t="s">
        <v>463</v>
      </c>
      <c r="F12" s="4" t="s">
        <v>74</v>
      </c>
      <c r="G12" s="4"/>
      <c r="H12" s="4" t="s">
        <v>75</v>
      </c>
      <c r="I12" s="4" t="s">
        <v>76</v>
      </c>
      <c r="J12" s="4"/>
      <c r="K12" s="4"/>
    </row>
    <row r="13" spans="1:11" ht="60" customHeight="1" x14ac:dyDescent="0.25">
      <c r="A13" s="4" t="s">
        <v>169</v>
      </c>
      <c r="B13" s="4" t="s">
        <v>170</v>
      </c>
      <c r="C13" s="9" t="s">
        <v>71</v>
      </c>
      <c r="D13" s="4" t="s">
        <v>173</v>
      </c>
      <c r="E13" s="4" t="s">
        <v>463</v>
      </c>
      <c r="F13" s="4" t="s">
        <v>74</v>
      </c>
      <c r="G13" s="4"/>
      <c r="H13" s="4" t="s">
        <v>75</v>
      </c>
      <c r="I13" s="4" t="s">
        <v>76</v>
      </c>
      <c r="J13" s="4"/>
      <c r="K13" s="4"/>
    </row>
    <row r="14" spans="1:11" ht="60" customHeight="1" x14ac:dyDescent="0.25">
      <c r="A14" s="4" t="s">
        <v>169</v>
      </c>
      <c r="B14" s="4" t="s">
        <v>170</v>
      </c>
      <c r="C14" s="10" t="s">
        <v>78</v>
      </c>
      <c r="D14" s="4" t="s">
        <v>464</v>
      </c>
      <c r="E14" s="4" t="s">
        <v>463</v>
      </c>
      <c r="F14" s="4" t="s">
        <v>74</v>
      </c>
      <c r="G14" s="4"/>
      <c r="H14" s="4" t="s">
        <v>75</v>
      </c>
      <c r="I14" s="4" t="s">
        <v>76</v>
      </c>
      <c r="J14" s="4"/>
      <c r="K14" s="4"/>
    </row>
    <row r="15" spans="1:11" x14ac:dyDescent="0.25">
      <c r="A15" s="8" t="s">
        <v>180</v>
      </c>
      <c r="B15" s="20" t="s">
        <v>181</v>
      </c>
      <c r="C15" s="21"/>
      <c r="D15" s="21"/>
      <c r="E15" s="21"/>
      <c r="F15" s="21"/>
      <c r="G15" s="21"/>
      <c r="H15" s="21"/>
      <c r="I15" s="21"/>
      <c r="J15" s="21"/>
      <c r="K15" s="22"/>
    </row>
    <row r="16" spans="1:11" ht="60" customHeight="1" x14ac:dyDescent="0.25">
      <c r="A16" s="4" t="s">
        <v>180</v>
      </c>
      <c r="B16" s="4" t="s">
        <v>181</v>
      </c>
      <c r="C16" s="9" t="s">
        <v>71</v>
      </c>
      <c r="D16" s="4" t="s">
        <v>182</v>
      </c>
      <c r="E16" s="4" t="s">
        <v>465</v>
      </c>
      <c r="F16" s="4" t="s">
        <v>74</v>
      </c>
      <c r="G16" s="4"/>
      <c r="H16" s="4" t="s">
        <v>75</v>
      </c>
      <c r="I16" s="4" t="s">
        <v>76</v>
      </c>
      <c r="J16" s="4"/>
      <c r="K16" s="4"/>
    </row>
    <row r="17" spans="1:11" ht="60" customHeight="1" x14ac:dyDescent="0.25">
      <c r="A17" s="4" t="s">
        <v>180</v>
      </c>
      <c r="B17" s="4" t="s">
        <v>181</v>
      </c>
      <c r="C17" s="10" t="s">
        <v>78</v>
      </c>
      <c r="D17" s="4" t="s">
        <v>466</v>
      </c>
      <c r="E17" s="4" t="s">
        <v>465</v>
      </c>
      <c r="F17" s="4" t="s">
        <v>74</v>
      </c>
      <c r="G17" s="4"/>
      <c r="H17" s="4" t="s">
        <v>75</v>
      </c>
      <c r="I17" s="4" t="s">
        <v>76</v>
      </c>
      <c r="J17" s="4"/>
      <c r="K17" s="4"/>
    </row>
    <row r="18" spans="1:11" x14ac:dyDescent="0.25">
      <c r="A18" s="8" t="s">
        <v>185</v>
      </c>
      <c r="B18" s="20" t="s">
        <v>186</v>
      </c>
      <c r="C18" s="21"/>
      <c r="D18" s="21"/>
      <c r="E18" s="21"/>
      <c r="F18" s="21"/>
      <c r="G18" s="21"/>
      <c r="H18" s="21"/>
      <c r="I18" s="21"/>
      <c r="J18" s="21"/>
      <c r="K18" s="22"/>
    </row>
    <row r="19" spans="1:11" ht="60" customHeight="1" x14ac:dyDescent="0.25">
      <c r="A19" s="4" t="s">
        <v>185</v>
      </c>
      <c r="B19" s="4" t="s">
        <v>186</v>
      </c>
      <c r="C19" s="9" t="s">
        <v>71</v>
      </c>
      <c r="D19" s="4" t="s">
        <v>187</v>
      </c>
      <c r="E19" s="4" t="s">
        <v>467</v>
      </c>
      <c r="F19" s="4" t="s">
        <v>74</v>
      </c>
      <c r="G19" s="4"/>
      <c r="H19" s="4" t="s">
        <v>75</v>
      </c>
      <c r="I19" s="4" t="s">
        <v>76</v>
      </c>
      <c r="J19" s="4"/>
      <c r="K19" s="4"/>
    </row>
    <row r="20" spans="1:11" ht="60" customHeight="1" x14ac:dyDescent="0.25">
      <c r="A20" s="4" t="s">
        <v>185</v>
      </c>
      <c r="B20" s="4" t="s">
        <v>186</v>
      </c>
      <c r="C20" s="10" t="s">
        <v>78</v>
      </c>
      <c r="D20" s="4" t="s">
        <v>468</v>
      </c>
      <c r="E20" s="4" t="s">
        <v>467</v>
      </c>
      <c r="F20" s="4" t="s">
        <v>74</v>
      </c>
      <c r="G20" s="4"/>
      <c r="H20" s="4" t="s">
        <v>75</v>
      </c>
      <c r="I20" s="4" t="s">
        <v>76</v>
      </c>
      <c r="J20" s="4"/>
      <c r="K20" s="4"/>
    </row>
    <row r="21" spans="1:11" ht="60" customHeight="1" x14ac:dyDescent="0.25">
      <c r="A21" s="4" t="s">
        <v>185</v>
      </c>
      <c r="B21" s="4" t="s">
        <v>186</v>
      </c>
      <c r="C21" s="10" t="s">
        <v>78</v>
      </c>
      <c r="D21" s="4" t="s">
        <v>469</v>
      </c>
      <c r="E21" s="4" t="s">
        <v>467</v>
      </c>
      <c r="F21" s="4" t="s">
        <v>74</v>
      </c>
      <c r="G21" s="4"/>
      <c r="H21" s="4" t="s">
        <v>75</v>
      </c>
      <c r="I21" s="4" t="s">
        <v>76</v>
      </c>
      <c r="J21" s="4"/>
      <c r="K21" s="4"/>
    </row>
    <row r="22" spans="1:11" x14ac:dyDescent="0.25">
      <c r="A22" s="8" t="s">
        <v>191</v>
      </c>
      <c r="B22" s="20" t="s">
        <v>192</v>
      </c>
      <c r="C22" s="21"/>
      <c r="D22" s="21"/>
      <c r="E22" s="21"/>
      <c r="F22" s="21"/>
      <c r="G22" s="21"/>
      <c r="H22" s="21"/>
      <c r="I22" s="21"/>
      <c r="J22" s="21"/>
      <c r="K22" s="22"/>
    </row>
    <row r="23" spans="1:11" ht="60" customHeight="1" x14ac:dyDescent="0.25">
      <c r="A23" s="4" t="s">
        <v>191</v>
      </c>
      <c r="B23" s="4" t="s">
        <v>192</v>
      </c>
      <c r="C23" s="9" t="s">
        <v>71</v>
      </c>
      <c r="D23" s="4" t="s">
        <v>193</v>
      </c>
      <c r="E23" s="4" t="s">
        <v>470</v>
      </c>
      <c r="F23" s="4" t="s">
        <v>74</v>
      </c>
      <c r="G23" s="4"/>
      <c r="H23" s="4" t="s">
        <v>75</v>
      </c>
      <c r="I23" s="4" t="s">
        <v>76</v>
      </c>
      <c r="J23" s="4"/>
      <c r="K23" s="4"/>
    </row>
    <row r="24" spans="1:11" ht="60" customHeight="1" x14ac:dyDescent="0.25">
      <c r="A24" s="4" t="s">
        <v>191</v>
      </c>
      <c r="B24" s="4" t="s">
        <v>192</v>
      </c>
      <c r="C24" s="10" t="s">
        <v>78</v>
      </c>
      <c r="D24" s="4" t="s">
        <v>471</v>
      </c>
      <c r="E24" s="4" t="s">
        <v>470</v>
      </c>
      <c r="F24" s="4" t="s">
        <v>74</v>
      </c>
      <c r="G24" s="4"/>
      <c r="H24" s="4" t="s">
        <v>75</v>
      </c>
      <c r="I24" s="4" t="s">
        <v>76</v>
      </c>
      <c r="J24" s="4"/>
      <c r="K24" s="4"/>
    </row>
    <row r="25" spans="1:11" x14ac:dyDescent="0.25">
      <c r="A25" s="8" t="s">
        <v>197</v>
      </c>
      <c r="B25" s="20" t="s">
        <v>198</v>
      </c>
      <c r="C25" s="21"/>
      <c r="D25" s="21"/>
      <c r="E25" s="21"/>
      <c r="F25" s="21"/>
      <c r="G25" s="21"/>
      <c r="H25" s="21"/>
      <c r="I25" s="21"/>
      <c r="J25" s="21"/>
      <c r="K25" s="22"/>
    </row>
    <row r="26" spans="1:11" ht="60" customHeight="1" x14ac:dyDescent="0.25">
      <c r="A26" s="4" t="s">
        <v>197</v>
      </c>
      <c r="B26" s="4" t="s">
        <v>198</v>
      </c>
      <c r="C26" s="9" t="s">
        <v>71</v>
      </c>
      <c r="D26" s="4" t="s">
        <v>199</v>
      </c>
      <c r="E26" s="4" t="s">
        <v>472</v>
      </c>
      <c r="F26" s="4" t="s">
        <v>74</v>
      </c>
      <c r="G26" s="4"/>
      <c r="H26" s="4" t="s">
        <v>75</v>
      </c>
      <c r="I26" s="4" t="s">
        <v>76</v>
      </c>
      <c r="J26" s="4"/>
      <c r="K26" s="4"/>
    </row>
    <row r="27" spans="1:11" ht="60" customHeight="1" x14ac:dyDescent="0.25">
      <c r="A27" s="4" t="s">
        <v>197</v>
      </c>
      <c r="B27" s="4" t="s">
        <v>198</v>
      </c>
      <c r="C27" s="10" t="s">
        <v>78</v>
      </c>
      <c r="D27" s="4" t="s">
        <v>473</v>
      </c>
      <c r="E27" s="4" t="s">
        <v>472</v>
      </c>
      <c r="F27" s="4" t="s">
        <v>74</v>
      </c>
      <c r="G27" s="4"/>
      <c r="H27" s="4" t="s">
        <v>75</v>
      </c>
      <c r="I27" s="4" t="s">
        <v>76</v>
      </c>
      <c r="J27" s="4"/>
      <c r="K27" s="4"/>
    </row>
    <row r="28" spans="1:11" x14ac:dyDescent="0.25">
      <c r="A28" s="8" t="s">
        <v>202</v>
      </c>
      <c r="B28" s="20" t="s">
        <v>203</v>
      </c>
      <c r="C28" s="21"/>
      <c r="D28" s="21"/>
      <c r="E28" s="21"/>
      <c r="F28" s="21"/>
      <c r="G28" s="21"/>
      <c r="H28" s="21"/>
      <c r="I28" s="21"/>
      <c r="J28" s="21"/>
      <c r="K28" s="22"/>
    </row>
    <row r="29" spans="1:11" ht="60" customHeight="1" x14ac:dyDescent="0.25">
      <c r="A29" s="4" t="s">
        <v>202</v>
      </c>
      <c r="B29" s="4" t="s">
        <v>203</v>
      </c>
      <c r="C29" s="9" t="s">
        <v>71</v>
      </c>
      <c r="D29" s="4" t="s">
        <v>204</v>
      </c>
      <c r="E29" s="4" t="s">
        <v>474</v>
      </c>
      <c r="F29" s="4" t="s">
        <v>74</v>
      </c>
      <c r="G29" s="4"/>
      <c r="H29" s="4" t="s">
        <v>75</v>
      </c>
      <c r="I29" s="4" t="s">
        <v>76</v>
      </c>
      <c r="J29" s="4"/>
      <c r="K29" s="4"/>
    </row>
    <row r="30" spans="1:11" ht="60" customHeight="1" x14ac:dyDescent="0.25">
      <c r="A30" s="4" t="s">
        <v>202</v>
      </c>
      <c r="B30" s="4" t="s">
        <v>203</v>
      </c>
      <c r="C30" s="10" t="s">
        <v>78</v>
      </c>
      <c r="D30" s="4" t="s">
        <v>475</v>
      </c>
      <c r="E30" s="4" t="s">
        <v>474</v>
      </c>
      <c r="F30" s="4" t="s">
        <v>74</v>
      </c>
      <c r="G30" s="4"/>
      <c r="H30" s="4" t="s">
        <v>75</v>
      </c>
      <c r="I30" s="4" t="s">
        <v>76</v>
      </c>
      <c r="J30" s="4"/>
      <c r="K30" s="4"/>
    </row>
    <row r="31" spans="1:11" x14ac:dyDescent="0.25">
      <c r="A31" s="8" t="s">
        <v>207</v>
      </c>
      <c r="B31" s="20" t="s">
        <v>208</v>
      </c>
      <c r="C31" s="21"/>
      <c r="D31" s="21"/>
      <c r="E31" s="21"/>
      <c r="F31" s="21"/>
      <c r="G31" s="21"/>
      <c r="H31" s="21"/>
      <c r="I31" s="21"/>
      <c r="J31" s="21"/>
      <c r="K31" s="22"/>
    </row>
    <row r="32" spans="1:11" ht="60" customHeight="1" x14ac:dyDescent="0.25">
      <c r="A32" s="4" t="s">
        <v>207</v>
      </c>
      <c r="B32" s="4" t="s">
        <v>208</v>
      </c>
      <c r="C32" s="9" t="s">
        <v>71</v>
      </c>
      <c r="D32" s="4" t="s">
        <v>209</v>
      </c>
      <c r="E32" s="4" t="s">
        <v>476</v>
      </c>
      <c r="F32" s="4" t="s">
        <v>74</v>
      </c>
      <c r="G32" s="4"/>
      <c r="H32" s="4" t="s">
        <v>75</v>
      </c>
      <c r="I32" s="4" t="s">
        <v>76</v>
      </c>
      <c r="J32" s="4"/>
      <c r="K32" s="4"/>
    </row>
    <row r="33" spans="1:11" ht="60" customHeight="1" x14ac:dyDescent="0.25">
      <c r="A33" s="4" t="s">
        <v>207</v>
      </c>
      <c r="B33" s="4" t="s">
        <v>208</v>
      </c>
      <c r="C33" s="10" t="s">
        <v>78</v>
      </c>
      <c r="D33" s="4" t="s">
        <v>477</v>
      </c>
      <c r="E33" s="4" t="s">
        <v>476</v>
      </c>
      <c r="F33" s="4" t="s">
        <v>74</v>
      </c>
      <c r="G33" s="4"/>
      <c r="H33" s="4" t="s">
        <v>75</v>
      </c>
      <c r="I33" s="4" t="s">
        <v>76</v>
      </c>
      <c r="J33" s="4"/>
      <c r="K33" s="4"/>
    </row>
  </sheetData>
  <mergeCells count="10">
    <mergeCell ref="A2:K2"/>
    <mergeCell ref="B15:K15"/>
    <mergeCell ref="B25:K25"/>
    <mergeCell ref="B28:K28"/>
    <mergeCell ref="A1:K1"/>
    <mergeCell ref="B31:K31"/>
    <mergeCell ref="B22:K22"/>
    <mergeCell ref="B11:K11"/>
    <mergeCell ref="B8:K8"/>
    <mergeCell ref="B18:K18"/>
  </mergeCells>
  <dataValidations count="2">
    <dataValidation type="list" allowBlank="1" sqref="H8:H33" xr:uid="{00000000-0002-0000-0E00-000000000000}">
      <formula1>"Pending,Conformant,Minor NC,Major NC,OFI,N/A"</formula1>
    </dataValidation>
    <dataValidation type="list" allowBlank="1" sqref="I8:I33" xr:uid="{00000000-0002-0000-0E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47"/>
  <sheetViews>
    <sheetView workbookViewId="0">
      <pane ySplit="7" topLeftCell="A8" activePane="bottomLeft" state="frozen"/>
      <selection activeCell="E9" sqref="E9"/>
      <selection pane="bottomLeft" activeCell="E9" sqref="E9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55" customWidth="1"/>
    <col min="5" max="7" width="38" customWidth="1"/>
    <col min="8" max="9" width="14" customWidth="1"/>
    <col min="10" max="11" width="16" customWidth="1"/>
  </cols>
  <sheetData>
    <row r="1" spans="1:11" ht="18" x14ac:dyDescent="0.25">
      <c r="A1" s="33" t="s">
        <v>478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8" t="s">
        <v>479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25">
      <c r="A4" s="6" t="s">
        <v>49</v>
      </c>
      <c r="C4" s="6" t="s">
        <v>50</v>
      </c>
      <c r="F4" s="6" t="s">
        <v>51</v>
      </c>
      <c r="I4" s="6" t="s">
        <v>52</v>
      </c>
      <c r="K4" s="6" t="s">
        <v>53</v>
      </c>
    </row>
    <row r="5" spans="1:11" ht="18" customHeight="1" x14ac:dyDescent="0.25">
      <c r="A5" s="6" t="s">
        <v>54</v>
      </c>
      <c r="C5" s="6" t="s">
        <v>55</v>
      </c>
      <c r="D5" t="s">
        <v>56</v>
      </c>
      <c r="F5" s="6" t="s">
        <v>57</v>
      </c>
      <c r="K5" s="7">
        <f>IFERROR(COUNTIF(H8:H47,"Conformant")/(COUNTA(H8:H47)-COUNTIF(H8:H47,"Pending")-COUNTIF(H8:H47,"N/A")),0)</f>
        <v>0</v>
      </c>
    </row>
    <row r="7" spans="1:11" ht="27.95" customHeight="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8" t="s">
        <v>81</v>
      </c>
      <c r="B8" s="20" t="s">
        <v>82</v>
      </c>
      <c r="C8" s="21"/>
      <c r="D8" s="21"/>
      <c r="E8" s="21"/>
      <c r="F8" s="21"/>
      <c r="G8" s="21"/>
      <c r="H8" s="21"/>
      <c r="I8" s="21"/>
      <c r="J8" s="21"/>
      <c r="K8" s="22"/>
    </row>
    <row r="9" spans="1:11" ht="60" customHeight="1" x14ac:dyDescent="0.25">
      <c r="A9" s="4" t="s">
        <v>81</v>
      </c>
      <c r="B9" s="4" t="s">
        <v>82</v>
      </c>
      <c r="C9" s="9" t="s">
        <v>71</v>
      </c>
      <c r="D9" s="4" t="s">
        <v>83</v>
      </c>
      <c r="E9" s="4" t="s">
        <v>480</v>
      </c>
      <c r="F9" s="4" t="s">
        <v>74</v>
      </c>
      <c r="G9" s="4"/>
      <c r="H9" s="4" t="s">
        <v>75</v>
      </c>
      <c r="I9" s="4" t="s">
        <v>76</v>
      </c>
      <c r="J9" s="4"/>
      <c r="K9" s="4"/>
    </row>
    <row r="10" spans="1:11" ht="60" customHeight="1" x14ac:dyDescent="0.25">
      <c r="A10" s="4" t="s">
        <v>81</v>
      </c>
      <c r="B10" s="4" t="s">
        <v>82</v>
      </c>
      <c r="C10" s="9" t="s">
        <v>71</v>
      </c>
      <c r="D10" s="4" t="s">
        <v>85</v>
      </c>
      <c r="E10" s="4" t="s">
        <v>480</v>
      </c>
      <c r="F10" s="4" t="s">
        <v>74</v>
      </c>
      <c r="G10" s="4"/>
      <c r="H10" s="4" t="s">
        <v>75</v>
      </c>
      <c r="I10" s="4" t="s">
        <v>76</v>
      </c>
      <c r="J10" s="4"/>
      <c r="K10" s="4"/>
    </row>
    <row r="11" spans="1:11" ht="60" customHeight="1" x14ac:dyDescent="0.25">
      <c r="A11" s="4" t="s">
        <v>81</v>
      </c>
      <c r="B11" s="4" t="s">
        <v>82</v>
      </c>
      <c r="C11" s="10" t="s">
        <v>78</v>
      </c>
      <c r="D11" s="4" t="s">
        <v>481</v>
      </c>
      <c r="E11" s="4" t="s">
        <v>480</v>
      </c>
      <c r="F11" s="4" t="s">
        <v>74</v>
      </c>
      <c r="G11" s="4"/>
      <c r="H11" s="4" t="s">
        <v>75</v>
      </c>
      <c r="I11" s="4" t="s">
        <v>76</v>
      </c>
      <c r="J11" s="4"/>
      <c r="K11" s="4"/>
    </row>
    <row r="12" spans="1:11" x14ac:dyDescent="0.25">
      <c r="A12" s="8" t="s">
        <v>109</v>
      </c>
      <c r="B12" s="20" t="s">
        <v>110</v>
      </c>
      <c r="C12" s="21"/>
      <c r="D12" s="21"/>
      <c r="E12" s="21"/>
      <c r="F12" s="21"/>
      <c r="G12" s="21"/>
      <c r="H12" s="21"/>
      <c r="I12" s="21"/>
      <c r="J12" s="21"/>
      <c r="K12" s="22"/>
    </row>
    <row r="13" spans="1:11" ht="60" customHeight="1" x14ac:dyDescent="0.25">
      <c r="A13" s="4" t="s">
        <v>109</v>
      </c>
      <c r="B13" s="4" t="s">
        <v>110</v>
      </c>
      <c r="C13" s="9" t="s">
        <v>71</v>
      </c>
      <c r="D13" s="4" t="s">
        <v>111</v>
      </c>
      <c r="E13" s="4" t="s">
        <v>482</v>
      </c>
      <c r="F13" s="4" t="s">
        <v>74</v>
      </c>
      <c r="G13" s="4"/>
      <c r="H13" s="4" t="s">
        <v>75</v>
      </c>
      <c r="I13" s="4" t="s">
        <v>76</v>
      </c>
      <c r="J13" s="4"/>
      <c r="K13" s="4"/>
    </row>
    <row r="14" spans="1:11" ht="60" customHeight="1" x14ac:dyDescent="0.25">
      <c r="A14" s="4" t="s">
        <v>109</v>
      </c>
      <c r="B14" s="4" t="s">
        <v>110</v>
      </c>
      <c r="C14" s="10" t="s">
        <v>78</v>
      </c>
      <c r="D14" s="4" t="s">
        <v>483</v>
      </c>
      <c r="E14" s="4" t="s">
        <v>482</v>
      </c>
      <c r="F14" s="4" t="s">
        <v>74</v>
      </c>
      <c r="G14" s="4"/>
      <c r="H14" s="4" t="s">
        <v>75</v>
      </c>
      <c r="I14" s="4" t="s">
        <v>76</v>
      </c>
      <c r="J14" s="4"/>
      <c r="K14" s="4"/>
    </row>
    <row r="15" spans="1:11" x14ac:dyDescent="0.25">
      <c r="A15" s="8" t="s">
        <v>114</v>
      </c>
      <c r="B15" s="20" t="s">
        <v>115</v>
      </c>
      <c r="C15" s="21"/>
      <c r="D15" s="21"/>
      <c r="E15" s="21"/>
      <c r="F15" s="21"/>
      <c r="G15" s="21"/>
      <c r="H15" s="21"/>
      <c r="I15" s="21"/>
      <c r="J15" s="21"/>
      <c r="K15" s="22"/>
    </row>
    <row r="16" spans="1:11" ht="60" customHeight="1" x14ac:dyDescent="0.25">
      <c r="A16" s="4" t="s">
        <v>114</v>
      </c>
      <c r="B16" s="4" t="s">
        <v>115</v>
      </c>
      <c r="C16" s="9" t="s">
        <v>71</v>
      </c>
      <c r="D16" s="4" t="s">
        <v>116</v>
      </c>
      <c r="E16" s="4" t="s">
        <v>318</v>
      </c>
      <c r="F16" s="4" t="s">
        <v>74</v>
      </c>
      <c r="G16" s="4"/>
      <c r="H16" s="4" t="s">
        <v>75</v>
      </c>
      <c r="I16" s="4" t="s">
        <v>76</v>
      </c>
      <c r="J16" s="4"/>
      <c r="K16" s="4"/>
    </row>
    <row r="17" spans="1:11" ht="60" customHeight="1" x14ac:dyDescent="0.25">
      <c r="A17" s="4" t="s">
        <v>114</v>
      </c>
      <c r="B17" s="4" t="s">
        <v>115</v>
      </c>
      <c r="C17" s="9" t="s">
        <v>71</v>
      </c>
      <c r="D17" s="4" t="s">
        <v>118</v>
      </c>
      <c r="E17" s="4" t="s">
        <v>318</v>
      </c>
      <c r="F17" s="4" t="s">
        <v>74</v>
      </c>
      <c r="G17" s="4"/>
      <c r="H17" s="4" t="s">
        <v>75</v>
      </c>
      <c r="I17" s="4" t="s">
        <v>76</v>
      </c>
      <c r="J17" s="4"/>
      <c r="K17" s="4"/>
    </row>
    <row r="18" spans="1:11" ht="60" customHeight="1" x14ac:dyDescent="0.25">
      <c r="A18" s="4" t="s">
        <v>114</v>
      </c>
      <c r="B18" s="4" t="s">
        <v>115</v>
      </c>
      <c r="C18" s="10" t="s">
        <v>78</v>
      </c>
      <c r="D18" s="4" t="s">
        <v>484</v>
      </c>
      <c r="E18" s="4" t="s">
        <v>318</v>
      </c>
      <c r="F18" s="4" t="s">
        <v>74</v>
      </c>
      <c r="G18" s="4"/>
      <c r="H18" s="4" t="s">
        <v>75</v>
      </c>
      <c r="I18" s="4" t="s">
        <v>76</v>
      </c>
      <c r="J18" s="4"/>
      <c r="K18" s="4"/>
    </row>
    <row r="19" spans="1:11" x14ac:dyDescent="0.25">
      <c r="A19" s="8" t="s">
        <v>120</v>
      </c>
      <c r="B19" s="20" t="s">
        <v>121</v>
      </c>
      <c r="C19" s="21"/>
      <c r="D19" s="21"/>
      <c r="E19" s="21"/>
      <c r="F19" s="21"/>
      <c r="G19" s="21"/>
      <c r="H19" s="21"/>
      <c r="I19" s="21"/>
      <c r="J19" s="21"/>
      <c r="K19" s="22"/>
    </row>
    <row r="20" spans="1:11" ht="60" customHeight="1" x14ac:dyDescent="0.25">
      <c r="A20" s="4" t="s">
        <v>120</v>
      </c>
      <c r="B20" s="4" t="s">
        <v>121</v>
      </c>
      <c r="C20" s="9" t="s">
        <v>71</v>
      </c>
      <c r="D20" s="4" t="s">
        <v>122</v>
      </c>
      <c r="E20" s="4" t="s">
        <v>485</v>
      </c>
      <c r="F20" s="4" t="s">
        <v>74</v>
      </c>
      <c r="G20" s="4"/>
      <c r="H20" s="4" t="s">
        <v>75</v>
      </c>
      <c r="I20" s="4" t="s">
        <v>76</v>
      </c>
      <c r="J20" s="4"/>
      <c r="K20" s="4"/>
    </row>
    <row r="21" spans="1:11" ht="60" customHeight="1" x14ac:dyDescent="0.25">
      <c r="A21" s="4" t="s">
        <v>120</v>
      </c>
      <c r="B21" s="4" t="s">
        <v>121</v>
      </c>
      <c r="C21" s="9" t="s">
        <v>71</v>
      </c>
      <c r="D21" s="4" t="s">
        <v>124</v>
      </c>
      <c r="E21" s="4" t="s">
        <v>485</v>
      </c>
      <c r="F21" s="4" t="s">
        <v>74</v>
      </c>
      <c r="G21" s="4"/>
      <c r="H21" s="4" t="s">
        <v>75</v>
      </c>
      <c r="I21" s="4" t="s">
        <v>76</v>
      </c>
      <c r="J21" s="4"/>
      <c r="K21" s="4"/>
    </row>
    <row r="22" spans="1:11" ht="60" customHeight="1" x14ac:dyDescent="0.25">
      <c r="A22" s="4" t="s">
        <v>120</v>
      </c>
      <c r="B22" s="4" t="s">
        <v>121</v>
      </c>
      <c r="C22" s="10" t="s">
        <v>78</v>
      </c>
      <c r="D22" s="4" t="s">
        <v>486</v>
      </c>
      <c r="E22" s="4" t="s">
        <v>485</v>
      </c>
      <c r="F22" s="4" t="s">
        <v>74</v>
      </c>
      <c r="G22" s="4"/>
      <c r="H22" s="4" t="s">
        <v>75</v>
      </c>
      <c r="I22" s="4" t="s">
        <v>76</v>
      </c>
      <c r="J22" s="4"/>
      <c r="K22" s="4"/>
    </row>
    <row r="23" spans="1:11" x14ac:dyDescent="0.25">
      <c r="A23" s="8" t="s">
        <v>126</v>
      </c>
      <c r="B23" s="20" t="s">
        <v>127</v>
      </c>
      <c r="C23" s="21"/>
      <c r="D23" s="21"/>
      <c r="E23" s="21"/>
      <c r="F23" s="21"/>
      <c r="G23" s="21"/>
      <c r="H23" s="21"/>
      <c r="I23" s="21"/>
      <c r="J23" s="21"/>
      <c r="K23" s="22"/>
    </row>
    <row r="24" spans="1:11" ht="60" customHeight="1" x14ac:dyDescent="0.25">
      <c r="A24" s="4" t="s">
        <v>126</v>
      </c>
      <c r="B24" s="4" t="s">
        <v>127</v>
      </c>
      <c r="C24" s="9" t="s">
        <v>71</v>
      </c>
      <c r="D24" s="4" t="s">
        <v>128</v>
      </c>
      <c r="E24" s="4" t="s">
        <v>487</v>
      </c>
      <c r="F24" s="4" t="s">
        <v>74</v>
      </c>
      <c r="G24" s="4"/>
      <c r="H24" s="4" t="s">
        <v>75</v>
      </c>
      <c r="I24" s="4" t="s">
        <v>76</v>
      </c>
      <c r="J24" s="4"/>
      <c r="K24" s="4"/>
    </row>
    <row r="25" spans="1:11" ht="60" customHeight="1" x14ac:dyDescent="0.25">
      <c r="A25" s="4" t="s">
        <v>126</v>
      </c>
      <c r="B25" s="4" t="s">
        <v>127</v>
      </c>
      <c r="C25" s="10" t="s">
        <v>78</v>
      </c>
      <c r="D25" s="4" t="s">
        <v>488</v>
      </c>
      <c r="E25" s="4" t="s">
        <v>487</v>
      </c>
      <c r="F25" s="4" t="s">
        <v>74</v>
      </c>
      <c r="G25" s="4"/>
      <c r="H25" s="4" t="s">
        <v>75</v>
      </c>
      <c r="I25" s="4" t="s">
        <v>76</v>
      </c>
      <c r="J25" s="4"/>
      <c r="K25" s="4"/>
    </row>
    <row r="26" spans="1:11" x14ac:dyDescent="0.25">
      <c r="A26" s="8" t="s">
        <v>169</v>
      </c>
      <c r="B26" s="20" t="s">
        <v>170</v>
      </c>
      <c r="C26" s="21"/>
      <c r="D26" s="21"/>
      <c r="E26" s="21"/>
      <c r="F26" s="21"/>
      <c r="G26" s="21"/>
      <c r="H26" s="21"/>
      <c r="I26" s="21"/>
      <c r="J26" s="21"/>
      <c r="K26" s="22"/>
    </row>
    <row r="27" spans="1:11" ht="60" customHeight="1" x14ac:dyDescent="0.25">
      <c r="A27" s="4" t="s">
        <v>169</v>
      </c>
      <c r="B27" s="4" t="s">
        <v>170</v>
      </c>
      <c r="C27" s="9" t="s">
        <v>71</v>
      </c>
      <c r="D27" s="4" t="s">
        <v>171</v>
      </c>
      <c r="E27" s="4" t="s">
        <v>489</v>
      </c>
      <c r="F27" s="4" t="s">
        <v>74</v>
      </c>
      <c r="G27" s="4"/>
      <c r="H27" s="4" t="s">
        <v>75</v>
      </c>
      <c r="I27" s="4" t="s">
        <v>76</v>
      </c>
      <c r="J27" s="4"/>
      <c r="K27" s="4"/>
    </row>
    <row r="28" spans="1:11" ht="60" customHeight="1" x14ac:dyDescent="0.25">
      <c r="A28" s="4" t="s">
        <v>169</v>
      </c>
      <c r="B28" s="4" t="s">
        <v>170</v>
      </c>
      <c r="C28" s="9" t="s">
        <v>71</v>
      </c>
      <c r="D28" s="4" t="s">
        <v>173</v>
      </c>
      <c r="E28" s="4" t="s">
        <v>489</v>
      </c>
      <c r="F28" s="4" t="s">
        <v>74</v>
      </c>
      <c r="G28" s="4"/>
      <c r="H28" s="4" t="s">
        <v>75</v>
      </c>
      <c r="I28" s="4" t="s">
        <v>76</v>
      </c>
      <c r="J28" s="4"/>
      <c r="K28" s="4"/>
    </row>
    <row r="29" spans="1:11" ht="60" customHeight="1" x14ac:dyDescent="0.25">
      <c r="A29" s="4" t="s">
        <v>169</v>
      </c>
      <c r="B29" s="4" t="s">
        <v>170</v>
      </c>
      <c r="C29" s="10" t="s">
        <v>78</v>
      </c>
      <c r="D29" s="4" t="s">
        <v>490</v>
      </c>
      <c r="E29" s="4" t="s">
        <v>489</v>
      </c>
      <c r="F29" s="4" t="s">
        <v>74</v>
      </c>
      <c r="G29" s="4"/>
      <c r="H29" s="4" t="s">
        <v>75</v>
      </c>
      <c r="I29" s="4" t="s">
        <v>76</v>
      </c>
      <c r="J29" s="4"/>
      <c r="K29" s="4"/>
    </row>
    <row r="30" spans="1:11" x14ac:dyDescent="0.25">
      <c r="A30" s="8" t="s">
        <v>175</v>
      </c>
      <c r="B30" s="20" t="s">
        <v>176</v>
      </c>
      <c r="C30" s="21"/>
      <c r="D30" s="21"/>
      <c r="E30" s="21"/>
      <c r="F30" s="21"/>
      <c r="G30" s="21"/>
      <c r="H30" s="21"/>
      <c r="I30" s="21"/>
      <c r="J30" s="21"/>
      <c r="K30" s="22"/>
    </row>
    <row r="31" spans="1:11" ht="60" customHeight="1" x14ac:dyDescent="0.25">
      <c r="A31" s="4" t="s">
        <v>175</v>
      </c>
      <c r="B31" s="4" t="s">
        <v>176</v>
      </c>
      <c r="C31" s="9" t="s">
        <v>71</v>
      </c>
      <c r="D31" s="4" t="s">
        <v>177</v>
      </c>
      <c r="E31" s="4" t="s">
        <v>491</v>
      </c>
      <c r="F31" s="4" t="s">
        <v>74</v>
      </c>
      <c r="G31" s="4"/>
      <c r="H31" s="4" t="s">
        <v>75</v>
      </c>
      <c r="I31" s="4" t="s">
        <v>76</v>
      </c>
      <c r="J31" s="4"/>
      <c r="K31" s="4"/>
    </row>
    <row r="32" spans="1:11" ht="60" customHeight="1" x14ac:dyDescent="0.25">
      <c r="A32" s="4" t="s">
        <v>175</v>
      </c>
      <c r="B32" s="4" t="s">
        <v>176</v>
      </c>
      <c r="C32" s="10" t="s">
        <v>78</v>
      </c>
      <c r="D32" s="4" t="s">
        <v>492</v>
      </c>
      <c r="E32" s="4" t="s">
        <v>491</v>
      </c>
      <c r="F32" s="4" t="s">
        <v>74</v>
      </c>
      <c r="G32" s="4"/>
      <c r="H32" s="4" t="s">
        <v>75</v>
      </c>
      <c r="I32" s="4" t="s">
        <v>76</v>
      </c>
      <c r="J32" s="4"/>
      <c r="K32" s="4"/>
    </row>
    <row r="33" spans="1:11" x14ac:dyDescent="0.25">
      <c r="A33" s="8" t="s">
        <v>185</v>
      </c>
      <c r="B33" s="20" t="s">
        <v>186</v>
      </c>
      <c r="C33" s="21"/>
      <c r="D33" s="21"/>
      <c r="E33" s="21"/>
      <c r="F33" s="21"/>
      <c r="G33" s="21"/>
      <c r="H33" s="21"/>
      <c r="I33" s="21"/>
      <c r="J33" s="21"/>
      <c r="K33" s="22"/>
    </row>
    <row r="34" spans="1:11" ht="60" customHeight="1" x14ac:dyDescent="0.25">
      <c r="A34" s="4" t="s">
        <v>185</v>
      </c>
      <c r="B34" s="4" t="s">
        <v>186</v>
      </c>
      <c r="C34" s="9" t="s">
        <v>71</v>
      </c>
      <c r="D34" s="4" t="s">
        <v>187</v>
      </c>
      <c r="E34" s="4" t="s">
        <v>493</v>
      </c>
      <c r="F34" s="4" t="s">
        <v>74</v>
      </c>
      <c r="G34" s="4"/>
      <c r="H34" s="4" t="s">
        <v>75</v>
      </c>
      <c r="I34" s="4" t="s">
        <v>76</v>
      </c>
      <c r="J34" s="4"/>
      <c r="K34" s="4"/>
    </row>
    <row r="35" spans="1:11" ht="60" customHeight="1" x14ac:dyDescent="0.25">
      <c r="A35" s="4" t="s">
        <v>185</v>
      </c>
      <c r="B35" s="4" t="s">
        <v>186</v>
      </c>
      <c r="C35" s="10" t="s">
        <v>78</v>
      </c>
      <c r="D35" s="4" t="s">
        <v>494</v>
      </c>
      <c r="E35" s="4" t="s">
        <v>493</v>
      </c>
      <c r="F35" s="4" t="s">
        <v>74</v>
      </c>
      <c r="G35" s="4"/>
      <c r="H35" s="4" t="s">
        <v>75</v>
      </c>
      <c r="I35" s="4" t="s">
        <v>76</v>
      </c>
      <c r="J35" s="4"/>
      <c r="K35" s="4"/>
    </row>
    <row r="36" spans="1:11" x14ac:dyDescent="0.25">
      <c r="A36" s="8" t="s">
        <v>191</v>
      </c>
      <c r="B36" s="20" t="s">
        <v>192</v>
      </c>
      <c r="C36" s="21"/>
      <c r="D36" s="21"/>
      <c r="E36" s="21"/>
      <c r="F36" s="21"/>
      <c r="G36" s="21"/>
      <c r="H36" s="21"/>
      <c r="I36" s="21"/>
      <c r="J36" s="21"/>
      <c r="K36" s="22"/>
    </row>
    <row r="37" spans="1:11" ht="60" customHeight="1" x14ac:dyDescent="0.25">
      <c r="A37" s="4" t="s">
        <v>191</v>
      </c>
      <c r="B37" s="4" t="s">
        <v>192</v>
      </c>
      <c r="C37" s="9" t="s">
        <v>71</v>
      </c>
      <c r="D37" s="4" t="s">
        <v>193</v>
      </c>
      <c r="E37" s="4" t="s">
        <v>495</v>
      </c>
      <c r="F37" s="4" t="s">
        <v>74</v>
      </c>
      <c r="G37" s="4"/>
      <c r="H37" s="4" t="s">
        <v>75</v>
      </c>
      <c r="I37" s="4" t="s">
        <v>76</v>
      </c>
      <c r="J37" s="4"/>
      <c r="K37" s="4"/>
    </row>
    <row r="38" spans="1:11" ht="60" customHeight="1" x14ac:dyDescent="0.25">
      <c r="A38" s="4" t="s">
        <v>191</v>
      </c>
      <c r="B38" s="4" t="s">
        <v>192</v>
      </c>
      <c r="C38" s="10" t="s">
        <v>78</v>
      </c>
      <c r="D38" s="4" t="s">
        <v>496</v>
      </c>
      <c r="E38" s="4" t="s">
        <v>495</v>
      </c>
      <c r="F38" s="4" t="s">
        <v>74</v>
      </c>
      <c r="G38" s="4"/>
      <c r="H38" s="4" t="s">
        <v>75</v>
      </c>
      <c r="I38" s="4" t="s">
        <v>76</v>
      </c>
      <c r="J38" s="4"/>
      <c r="K38" s="4"/>
    </row>
    <row r="39" spans="1:11" x14ac:dyDescent="0.25">
      <c r="A39" s="8" t="s">
        <v>202</v>
      </c>
      <c r="B39" s="20" t="s">
        <v>203</v>
      </c>
      <c r="C39" s="21"/>
      <c r="D39" s="21"/>
      <c r="E39" s="21"/>
      <c r="F39" s="21"/>
      <c r="G39" s="21"/>
      <c r="H39" s="21"/>
      <c r="I39" s="21"/>
      <c r="J39" s="21"/>
      <c r="K39" s="22"/>
    </row>
    <row r="40" spans="1:11" ht="60" customHeight="1" x14ac:dyDescent="0.25">
      <c r="A40" s="4" t="s">
        <v>202</v>
      </c>
      <c r="B40" s="4" t="s">
        <v>203</v>
      </c>
      <c r="C40" s="9" t="s">
        <v>71</v>
      </c>
      <c r="D40" s="4" t="s">
        <v>204</v>
      </c>
      <c r="E40" s="4" t="s">
        <v>497</v>
      </c>
      <c r="F40" s="4" t="s">
        <v>74</v>
      </c>
      <c r="G40" s="4"/>
      <c r="H40" s="4" t="s">
        <v>75</v>
      </c>
      <c r="I40" s="4" t="s">
        <v>76</v>
      </c>
      <c r="J40" s="4"/>
      <c r="K40" s="4"/>
    </row>
    <row r="41" spans="1:11" ht="60" customHeight="1" x14ac:dyDescent="0.25">
      <c r="A41" s="4" t="s">
        <v>202</v>
      </c>
      <c r="B41" s="4" t="s">
        <v>203</v>
      </c>
      <c r="C41" s="10" t="s">
        <v>78</v>
      </c>
      <c r="D41" s="4" t="s">
        <v>498</v>
      </c>
      <c r="E41" s="4" t="s">
        <v>497</v>
      </c>
      <c r="F41" s="4" t="s">
        <v>74</v>
      </c>
      <c r="G41" s="4"/>
      <c r="H41" s="4" t="s">
        <v>75</v>
      </c>
      <c r="I41" s="4" t="s">
        <v>76</v>
      </c>
      <c r="J41" s="4"/>
      <c r="K41" s="4"/>
    </row>
    <row r="42" spans="1:11" x14ac:dyDescent="0.25">
      <c r="A42" s="8" t="s">
        <v>141</v>
      </c>
      <c r="B42" s="20" t="s">
        <v>142</v>
      </c>
      <c r="C42" s="21"/>
      <c r="D42" s="21"/>
      <c r="E42" s="21"/>
      <c r="F42" s="21"/>
      <c r="G42" s="21"/>
      <c r="H42" s="21"/>
      <c r="I42" s="21"/>
      <c r="J42" s="21"/>
      <c r="K42" s="22"/>
    </row>
    <row r="43" spans="1:11" ht="60" customHeight="1" x14ac:dyDescent="0.25">
      <c r="A43" s="4" t="s">
        <v>141</v>
      </c>
      <c r="B43" s="4" t="s">
        <v>142</v>
      </c>
      <c r="C43" s="9" t="s">
        <v>71</v>
      </c>
      <c r="D43" s="4" t="s">
        <v>143</v>
      </c>
      <c r="E43" s="4" t="s">
        <v>499</v>
      </c>
      <c r="F43" s="4" t="s">
        <v>74</v>
      </c>
      <c r="G43" s="4"/>
      <c r="H43" s="4" t="s">
        <v>75</v>
      </c>
      <c r="I43" s="4" t="s">
        <v>76</v>
      </c>
      <c r="J43" s="4"/>
      <c r="K43" s="4"/>
    </row>
    <row r="44" spans="1:11" ht="60" customHeight="1" x14ac:dyDescent="0.25">
      <c r="A44" s="4" t="s">
        <v>141</v>
      </c>
      <c r="B44" s="4" t="s">
        <v>142</v>
      </c>
      <c r="C44" s="10" t="s">
        <v>78</v>
      </c>
      <c r="D44" s="4" t="s">
        <v>500</v>
      </c>
      <c r="E44" s="4" t="s">
        <v>499</v>
      </c>
      <c r="F44" s="4" t="s">
        <v>74</v>
      </c>
      <c r="G44" s="4"/>
      <c r="H44" s="4" t="s">
        <v>75</v>
      </c>
      <c r="I44" s="4" t="s">
        <v>76</v>
      </c>
      <c r="J44" s="4"/>
      <c r="K44" s="4"/>
    </row>
    <row r="45" spans="1:11" x14ac:dyDescent="0.25">
      <c r="A45" s="8" t="s">
        <v>207</v>
      </c>
      <c r="B45" s="20" t="s">
        <v>208</v>
      </c>
      <c r="C45" s="21"/>
      <c r="D45" s="21"/>
      <c r="E45" s="21"/>
      <c r="F45" s="21"/>
      <c r="G45" s="21"/>
      <c r="H45" s="21"/>
      <c r="I45" s="21"/>
      <c r="J45" s="21"/>
      <c r="K45" s="22"/>
    </row>
    <row r="46" spans="1:11" ht="60" customHeight="1" x14ac:dyDescent="0.25">
      <c r="A46" s="4" t="s">
        <v>207</v>
      </c>
      <c r="B46" s="4" t="s">
        <v>208</v>
      </c>
      <c r="C46" s="9" t="s">
        <v>71</v>
      </c>
      <c r="D46" s="4" t="s">
        <v>209</v>
      </c>
      <c r="E46" s="4" t="s">
        <v>501</v>
      </c>
      <c r="F46" s="4" t="s">
        <v>74</v>
      </c>
      <c r="G46" s="4"/>
      <c r="H46" s="4" t="s">
        <v>75</v>
      </c>
      <c r="I46" s="4" t="s">
        <v>76</v>
      </c>
      <c r="J46" s="4"/>
      <c r="K46" s="4"/>
    </row>
    <row r="47" spans="1:11" ht="60" customHeight="1" x14ac:dyDescent="0.25">
      <c r="A47" s="4" t="s">
        <v>207</v>
      </c>
      <c r="B47" s="4" t="s">
        <v>208</v>
      </c>
      <c r="C47" s="10" t="s">
        <v>78</v>
      </c>
      <c r="D47" s="4" t="s">
        <v>502</v>
      </c>
      <c r="E47" s="4" t="s">
        <v>501</v>
      </c>
      <c r="F47" s="4" t="s">
        <v>74</v>
      </c>
      <c r="G47" s="4"/>
      <c r="H47" s="4" t="s">
        <v>75</v>
      </c>
      <c r="I47" s="4" t="s">
        <v>76</v>
      </c>
      <c r="J47" s="4"/>
      <c r="K47" s="4"/>
    </row>
  </sheetData>
  <mergeCells count="14">
    <mergeCell ref="A1:K1"/>
    <mergeCell ref="B19:K19"/>
    <mergeCell ref="A2:K2"/>
    <mergeCell ref="B12:K12"/>
    <mergeCell ref="B15:K15"/>
    <mergeCell ref="B8:K8"/>
    <mergeCell ref="B39:K39"/>
    <mergeCell ref="B42:K42"/>
    <mergeCell ref="B33:K33"/>
    <mergeCell ref="B45:K45"/>
    <mergeCell ref="B23:K23"/>
    <mergeCell ref="B26:K26"/>
    <mergeCell ref="B36:K36"/>
    <mergeCell ref="B30:K30"/>
  </mergeCells>
  <dataValidations count="2">
    <dataValidation type="list" allowBlank="1" sqref="H8:H47" xr:uid="{00000000-0002-0000-0F00-000000000000}">
      <formula1>"Pending,Conformant,Minor NC,Major NC,OFI,N/A"</formula1>
    </dataValidation>
    <dataValidation type="list" allowBlank="1" sqref="I8:I47" xr:uid="{00000000-0002-0000-0F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6"/>
  <sheetViews>
    <sheetView workbookViewId="0">
      <pane ySplit="7" topLeftCell="A8" activePane="bottomLeft" state="frozen"/>
      <selection activeCell="E9" sqref="E9"/>
      <selection pane="bottomLeft" activeCell="E9" sqref="E9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55" customWidth="1"/>
    <col min="5" max="7" width="38" customWidth="1"/>
    <col min="8" max="9" width="14" customWidth="1"/>
    <col min="10" max="11" width="16" customWidth="1"/>
  </cols>
  <sheetData>
    <row r="1" spans="1:11" ht="18" x14ac:dyDescent="0.25">
      <c r="A1" s="33" t="s">
        <v>503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8" t="s">
        <v>504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25">
      <c r="A4" s="6" t="s">
        <v>49</v>
      </c>
      <c r="C4" s="6" t="s">
        <v>50</v>
      </c>
      <c r="F4" s="6" t="s">
        <v>51</v>
      </c>
      <c r="I4" s="6" t="s">
        <v>52</v>
      </c>
      <c r="K4" s="6" t="s">
        <v>53</v>
      </c>
    </row>
    <row r="5" spans="1:11" ht="18" customHeight="1" x14ac:dyDescent="0.25">
      <c r="A5" s="6" t="s">
        <v>54</v>
      </c>
      <c r="C5" s="6" t="s">
        <v>55</v>
      </c>
      <c r="D5" t="s">
        <v>56</v>
      </c>
      <c r="F5" s="6" t="s">
        <v>57</v>
      </c>
      <c r="K5" s="7">
        <f>IFERROR(COUNTIF(H8:H26,"Conformant")/(COUNTA(H8:H26)-COUNTIF(H8:H26,"Pending")-COUNTIF(H8:H26,"N/A")),0)</f>
        <v>0</v>
      </c>
    </row>
    <row r="7" spans="1:11" ht="27.95" customHeight="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8" t="s">
        <v>131</v>
      </c>
      <c r="B8" s="20" t="s">
        <v>132</v>
      </c>
      <c r="C8" s="21"/>
      <c r="D8" s="21"/>
      <c r="E8" s="21"/>
      <c r="F8" s="21"/>
      <c r="G8" s="21"/>
      <c r="H8" s="21"/>
      <c r="I8" s="21"/>
      <c r="J8" s="21"/>
      <c r="K8" s="22"/>
    </row>
    <row r="9" spans="1:11" ht="60" customHeight="1" x14ac:dyDescent="0.25">
      <c r="A9" s="4" t="s">
        <v>131</v>
      </c>
      <c r="B9" s="4" t="s">
        <v>132</v>
      </c>
      <c r="C9" s="9" t="s">
        <v>71</v>
      </c>
      <c r="D9" s="4" t="s">
        <v>133</v>
      </c>
      <c r="E9" s="4" t="s">
        <v>505</v>
      </c>
      <c r="F9" s="4" t="s">
        <v>74</v>
      </c>
      <c r="G9" s="4"/>
      <c r="H9" s="4" t="s">
        <v>75</v>
      </c>
      <c r="I9" s="4" t="s">
        <v>76</v>
      </c>
      <c r="J9" s="4"/>
      <c r="K9" s="4"/>
    </row>
    <row r="10" spans="1:11" ht="60" customHeight="1" x14ac:dyDescent="0.25">
      <c r="A10" s="4" t="s">
        <v>131</v>
      </c>
      <c r="B10" s="4" t="s">
        <v>132</v>
      </c>
      <c r="C10" s="10" t="s">
        <v>78</v>
      </c>
      <c r="D10" s="4" t="s">
        <v>506</v>
      </c>
      <c r="E10" s="4" t="s">
        <v>505</v>
      </c>
      <c r="F10" s="4" t="s">
        <v>74</v>
      </c>
      <c r="G10" s="4"/>
      <c r="H10" s="4" t="s">
        <v>75</v>
      </c>
      <c r="I10" s="4" t="s">
        <v>76</v>
      </c>
      <c r="J10" s="4"/>
      <c r="K10" s="4"/>
    </row>
    <row r="11" spans="1:11" x14ac:dyDescent="0.25">
      <c r="A11" s="8" t="s">
        <v>371</v>
      </c>
      <c r="B11" s="20" t="s">
        <v>372</v>
      </c>
      <c r="C11" s="21"/>
      <c r="D11" s="21"/>
      <c r="E11" s="21"/>
      <c r="F11" s="21"/>
      <c r="G11" s="21"/>
      <c r="H11" s="21"/>
      <c r="I11" s="21"/>
      <c r="J11" s="21"/>
      <c r="K11" s="22"/>
    </row>
    <row r="12" spans="1:11" ht="60" customHeight="1" x14ac:dyDescent="0.25">
      <c r="A12" s="4" t="s">
        <v>371</v>
      </c>
      <c r="B12" s="4" t="s">
        <v>372</v>
      </c>
      <c r="C12" s="9" t="s">
        <v>71</v>
      </c>
      <c r="D12" s="4" t="s">
        <v>373</v>
      </c>
      <c r="E12" s="4" t="s">
        <v>507</v>
      </c>
      <c r="F12" s="4" t="s">
        <v>74</v>
      </c>
      <c r="G12" s="4"/>
      <c r="H12" s="4" t="s">
        <v>75</v>
      </c>
      <c r="I12" s="4" t="s">
        <v>76</v>
      </c>
      <c r="J12" s="4"/>
      <c r="K12" s="4"/>
    </row>
    <row r="13" spans="1:11" ht="60" customHeight="1" x14ac:dyDescent="0.25">
      <c r="A13" s="4" t="s">
        <v>371</v>
      </c>
      <c r="B13" s="4" t="s">
        <v>372</v>
      </c>
      <c r="C13" s="10" t="s">
        <v>78</v>
      </c>
      <c r="D13" s="4" t="s">
        <v>508</v>
      </c>
      <c r="E13" s="4" t="s">
        <v>507</v>
      </c>
      <c r="F13" s="4" t="s">
        <v>74</v>
      </c>
      <c r="G13" s="4"/>
      <c r="H13" s="4" t="s">
        <v>75</v>
      </c>
      <c r="I13" s="4" t="s">
        <v>76</v>
      </c>
      <c r="J13" s="4"/>
      <c r="K13" s="4"/>
    </row>
    <row r="14" spans="1:11" x14ac:dyDescent="0.25">
      <c r="A14" s="8" t="s">
        <v>169</v>
      </c>
      <c r="B14" s="20" t="s">
        <v>170</v>
      </c>
      <c r="C14" s="21"/>
      <c r="D14" s="21"/>
      <c r="E14" s="21"/>
      <c r="F14" s="21"/>
      <c r="G14" s="21"/>
      <c r="H14" s="21"/>
      <c r="I14" s="21"/>
      <c r="J14" s="21"/>
      <c r="K14" s="22"/>
    </row>
    <row r="15" spans="1:11" ht="60" customHeight="1" x14ac:dyDescent="0.25">
      <c r="A15" s="4" t="s">
        <v>169</v>
      </c>
      <c r="B15" s="4" t="s">
        <v>170</v>
      </c>
      <c r="C15" s="9" t="s">
        <v>71</v>
      </c>
      <c r="D15" s="4" t="s">
        <v>171</v>
      </c>
      <c r="E15" s="4" t="s">
        <v>509</v>
      </c>
      <c r="F15" s="4" t="s">
        <v>74</v>
      </c>
      <c r="G15" s="4"/>
      <c r="H15" s="4" t="s">
        <v>75</v>
      </c>
      <c r="I15" s="4" t="s">
        <v>76</v>
      </c>
      <c r="J15" s="4"/>
      <c r="K15" s="4"/>
    </row>
    <row r="16" spans="1:11" ht="60" customHeight="1" x14ac:dyDescent="0.25">
      <c r="A16" s="4" t="s">
        <v>169</v>
      </c>
      <c r="B16" s="4" t="s">
        <v>170</v>
      </c>
      <c r="C16" s="9" t="s">
        <v>71</v>
      </c>
      <c r="D16" s="4" t="s">
        <v>173</v>
      </c>
      <c r="E16" s="4" t="s">
        <v>509</v>
      </c>
      <c r="F16" s="4" t="s">
        <v>74</v>
      </c>
      <c r="G16" s="4"/>
      <c r="H16" s="4" t="s">
        <v>75</v>
      </c>
      <c r="I16" s="4" t="s">
        <v>76</v>
      </c>
      <c r="J16" s="4"/>
      <c r="K16" s="4"/>
    </row>
    <row r="17" spans="1:11" ht="60" customHeight="1" x14ac:dyDescent="0.25">
      <c r="A17" s="4" t="s">
        <v>169</v>
      </c>
      <c r="B17" s="4" t="s">
        <v>170</v>
      </c>
      <c r="C17" s="10" t="s">
        <v>78</v>
      </c>
      <c r="D17" s="4" t="s">
        <v>510</v>
      </c>
      <c r="E17" s="4" t="s">
        <v>509</v>
      </c>
      <c r="F17" s="4" t="s">
        <v>74</v>
      </c>
      <c r="G17" s="4"/>
      <c r="H17" s="4" t="s">
        <v>75</v>
      </c>
      <c r="I17" s="4" t="s">
        <v>76</v>
      </c>
      <c r="J17" s="4"/>
      <c r="K17" s="4"/>
    </row>
    <row r="18" spans="1:11" x14ac:dyDescent="0.25">
      <c r="A18" s="8" t="s">
        <v>180</v>
      </c>
      <c r="B18" s="20" t="s">
        <v>181</v>
      </c>
      <c r="C18" s="21"/>
      <c r="D18" s="21"/>
      <c r="E18" s="21"/>
      <c r="F18" s="21"/>
      <c r="G18" s="21"/>
      <c r="H18" s="21"/>
      <c r="I18" s="21"/>
      <c r="J18" s="21"/>
      <c r="K18" s="22"/>
    </row>
    <row r="19" spans="1:11" ht="60" customHeight="1" x14ac:dyDescent="0.25">
      <c r="A19" s="4" t="s">
        <v>180</v>
      </c>
      <c r="B19" s="4" t="s">
        <v>181</v>
      </c>
      <c r="C19" s="9" t="s">
        <v>71</v>
      </c>
      <c r="D19" s="4" t="s">
        <v>182</v>
      </c>
      <c r="E19" s="4" t="s">
        <v>511</v>
      </c>
      <c r="F19" s="4" t="s">
        <v>74</v>
      </c>
      <c r="G19" s="4"/>
      <c r="H19" s="4" t="s">
        <v>75</v>
      </c>
      <c r="I19" s="4" t="s">
        <v>76</v>
      </c>
      <c r="J19" s="4"/>
      <c r="K19" s="4"/>
    </row>
    <row r="20" spans="1:11" ht="60" customHeight="1" x14ac:dyDescent="0.25">
      <c r="A20" s="4" t="s">
        <v>180</v>
      </c>
      <c r="B20" s="4" t="s">
        <v>181</v>
      </c>
      <c r="C20" s="10" t="s">
        <v>78</v>
      </c>
      <c r="D20" s="4" t="s">
        <v>512</v>
      </c>
      <c r="E20" s="4" t="s">
        <v>511</v>
      </c>
      <c r="F20" s="4" t="s">
        <v>74</v>
      </c>
      <c r="G20" s="4"/>
      <c r="H20" s="4" t="s">
        <v>75</v>
      </c>
      <c r="I20" s="4" t="s">
        <v>76</v>
      </c>
      <c r="J20" s="4"/>
      <c r="K20" s="4"/>
    </row>
    <row r="21" spans="1:11" x14ac:dyDescent="0.25">
      <c r="A21" s="8" t="s">
        <v>202</v>
      </c>
      <c r="B21" s="20" t="s">
        <v>203</v>
      </c>
      <c r="C21" s="21"/>
      <c r="D21" s="21"/>
      <c r="E21" s="21"/>
      <c r="F21" s="21"/>
      <c r="G21" s="21"/>
      <c r="H21" s="21"/>
      <c r="I21" s="21"/>
      <c r="J21" s="21"/>
      <c r="K21" s="22"/>
    </row>
    <row r="22" spans="1:11" ht="60" customHeight="1" x14ac:dyDescent="0.25">
      <c r="A22" s="4" t="s">
        <v>202</v>
      </c>
      <c r="B22" s="4" t="s">
        <v>203</v>
      </c>
      <c r="C22" s="9" t="s">
        <v>71</v>
      </c>
      <c r="D22" s="4" t="s">
        <v>204</v>
      </c>
      <c r="E22" s="4" t="s">
        <v>513</v>
      </c>
      <c r="F22" s="4" t="s">
        <v>74</v>
      </c>
      <c r="G22" s="4"/>
      <c r="H22" s="4" t="s">
        <v>75</v>
      </c>
      <c r="I22" s="4" t="s">
        <v>76</v>
      </c>
      <c r="J22" s="4"/>
      <c r="K22" s="4"/>
    </row>
    <row r="23" spans="1:11" ht="60" customHeight="1" x14ac:dyDescent="0.25">
      <c r="A23" s="4" t="s">
        <v>202</v>
      </c>
      <c r="B23" s="4" t="s">
        <v>203</v>
      </c>
      <c r="C23" s="10" t="s">
        <v>78</v>
      </c>
      <c r="D23" s="4" t="s">
        <v>514</v>
      </c>
      <c r="E23" s="4" t="s">
        <v>513</v>
      </c>
      <c r="F23" s="4" t="s">
        <v>74</v>
      </c>
      <c r="G23" s="4"/>
      <c r="H23" s="4" t="s">
        <v>75</v>
      </c>
      <c r="I23" s="4" t="s">
        <v>76</v>
      </c>
      <c r="J23" s="4"/>
      <c r="K23" s="4"/>
    </row>
    <row r="24" spans="1:11" x14ac:dyDescent="0.25">
      <c r="A24" s="8" t="s">
        <v>207</v>
      </c>
      <c r="B24" s="20" t="s">
        <v>208</v>
      </c>
      <c r="C24" s="21"/>
      <c r="D24" s="21"/>
      <c r="E24" s="21"/>
      <c r="F24" s="21"/>
      <c r="G24" s="21"/>
      <c r="H24" s="21"/>
      <c r="I24" s="21"/>
      <c r="J24" s="21"/>
      <c r="K24" s="22"/>
    </row>
    <row r="25" spans="1:11" ht="60" customHeight="1" x14ac:dyDescent="0.25">
      <c r="A25" s="4" t="s">
        <v>207</v>
      </c>
      <c r="B25" s="4" t="s">
        <v>208</v>
      </c>
      <c r="C25" s="9" t="s">
        <v>71</v>
      </c>
      <c r="D25" s="4" t="s">
        <v>209</v>
      </c>
      <c r="E25" s="4" t="s">
        <v>515</v>
      </c>
      <c r="F25" s="4" t="s">
        <v>74</v>
      </c>
      <c r="G25" s="4"/>
      <c r="H25" s="4" t="s">
        <v>75</v>
      </c>
      <c r="I25" s="4" t="s">
        <v>76</v>
      </c>
      <c r="J25" s="4"/>
      <c r="K25" s="4"/>
    </row>
    <row r="26" spans="1:11" ht="60" customHeight="1" x14ac:dyDescent="0.25">
      <c r="A26" s="4" t="s">
        <v>207</v>
      </c>
      <c r="B26" s="4" t="s">
        <v>208</v>
      </c>
      <c r="C26" s="10" t="s">
        <v>78</v>
      </c>
      <c r="D26" s="4" t="s">
        <v>516</v>
      </c>
      <c r="E26" s="4" t="s">
        <v>515</v>
      </c>
      <c r="F26" s="4" t="s">
        <v>74</v>
      </c>
      <c r="G26" s="4"/>
      <c r="H26" s="4" t="s">
        <v>75</v>
      </c>
      <c r="I26" s="4" t="s">
        <v>76</v>
      </c>
      <c r="J26" s="4"/>
      <c r="K26" s="4"/>
    </row>
  </sheetData>
  <mergeCells count="8">
    <mergeCell ref="A2:K2"/>
    <mergeCell ref="B24:K24"/>
    <mergeCell ref="A1:K1"/>
    <mergeCell ref="B14:K14"/>
    <mergeCell ref="B11:K11"/>
    <mergeCell ref="B8:K8"/>
    <mergeCell ref="B18:K18"/>
    <mergeCell ref="B21:K21"/>
  </mergeCells>
  <dataValidations count="2">
    <dataValidation type="list" allowBlank="1" sqref="H8:H26" xr:uid="{00000000-0002-0000-1000-000000000000}">
      <formula1>"Pending,Conformant,Minor NC,Major NC,OFI,N/A"</formula1>
    </dataValidation>
    <dataValidation type="list" allowBlank="1" sqref="I8:I26" xr:uid="{00000000-0002-0000-10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2"/>
  <sheetViews>
    <sheetView workbookViewId="0">
      <pane ySplit="7" topLeftCell="A8" activePane="bottomLeft" state="frozen"/>
      <selection activeCell="E9" sqref="E9"/>
      <selection pane="bottomLeft" activeCell="E9" sqref="E9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55" customWidth="1"/>
    <col min="5" max="7" width="38" customWidth="1"/>
    <col min="8" max="9" width="14" customWidth="1"/>
    <col min="10" max="11" width="16" customWidth="1"/>
  </cols>
  <sheetData>
    <row r="1" spans="1:11" ht="18" x14ac:dyDescent="0.25">
      <c r="A1" s="33" t="s">
        <v>517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8" t="s">
        <v>518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25">
      <c r="A4" s="6" t="s">
        <v>49</v>
      </c>
      <c r="C4" s="6" t="s">
        <v>50</v>
      </c>
      <c r="F4" s="6" t="s">
        <v>51</v>
      </c>
      <c r="I4" s="6" t="s">
        <v>52</v>
      </c>
      <c r="K4" s="6" t="s">
        <v>53</v>
      </c>
    </row>
    <row r="5" spans="1:11" ht="18" customHeight="1" x14ac:dyDescent="0.25">
      <c r="A5" s="6" t="s">
        <v>54</v>
      </c>
      <c r="C5" s="6" t="s">
        <v>55</v>
      </c>
      <c r="D5" t="s">
        <v>56</v>
      </c>
      <c r="F5" s="6" t="s">
        <v>57</v>
      </c>
      <c r="K5" s="7">
        <f>IFERROR(COUNTIF(H8:H52,"Conformant")/(COUNTA(H8:H52)-COUNTIF(H8:H52,"Pending")-COUNTIF(H8:H52,"N/A")),0)</f>
        <v>0</v>
      </c>
    </row>
    <row r="7" spans="1:11" ht="27.95" customHeight="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8" t="s">
        <v>92</v>
      </c>
      <c r="B8" s="20" t="s">
        <v>93</v>
      </c>
      <c r="C8" s="21"/>
      <c r="D8" s="21"/>
      <c r="E8" s="21"/>
      <c r="F8" s="21"/>
      <c r="G8" s="21"/>
      <c r="H8" s="21"/>
      <c r="I8" s="21"/>
      <c r="J8" s="21"/>
      <c r="K8" s="22"/>
    </row>
    <row r="9" spans="1:11" ht="60" customHeight="1" x14ac:dyDescent="0.25">
      <c r="A9" s="4" t="s">
        <v>92</v>
      </c>
      <c r="B9" s="4" t="s">
        <v>93</v>
      </c>
      <c r="C9" s="9" t="s">
        <v>71</v>
      </c>
      <c r="D9" s="4" t="s">
        <v>94</v>
      </c>
      <c r="E9" s="4" t="s">
        <v>519</v>
      </c>
      <c r="F9" s="4" t="s">
        <v>74</v>
      </c>
      <c r="G9" s="4"/>
      <c r="H9" s="4" t="s">
        <v>75</v>
      </c>
      <c r="I9" s="4" t="s">
        <v>76</v>
      </c>
      <c r="J9" s="4"/>
      <c r="K9" s="4"/>
    </row>
    <row r="10" spans="1:11" ht="60" customHeight="1" x14ac:dyDescent="0.25">
      <c r="A10" s="4" t="s">
        <v>92</v>
      </c>
      <c r="B10" s="4" t="s">
        <v>93</v>
      </c>
      <c r="C10" s="9" t="s">
        <v>71</v>
      </c>
      <c r="D10" s="4" t="s">
        <v>96</v>
      </c>
      <c r="E10" s="4" t="s">
        <v>519</v>
      </c>
      <c r="F10" s="4" t="s">
        <v>74</v>
      </c>
      <c r="G10" s="4"/>
      <c r="H10" s="4" t="s">
        <v>75</v>
      </c>
      <c r="I10" s="4" t="s">
        <v>76</v>
      </c>
      <c r="J10" s="4"/>
      <c r="K10" s="4"/>
    </row>
    <row r="11" spans="1:11" ht="60" customHeight="1" x14ac:dyDescent="0.25">
      <c r="A11" s="4" t="s">
        <v>92</v>
      </c>
      <c r="B11" s="4" t="s">
        <v>93</v>
      </c>
      <c r="C11" s="10" t="s">
        <v>78</v>
      </c>
      <c r="D11" s="4" t="s">
        <v>520</v>
      </c>
      <c r="E11" s="4" t="s">
        <v>519</v>
      </c>
      <c r="F11" s="4" t="s">
        <v>74</v>
      </c>
      <c r="G11" s="4"/>
      <c r="H11" s="4" t="s">
        <v>75</v>
      </c>
      <c r="I11" s="4" t="s">
        <v>76</v>
      </c>
      <c r="J11" s="4"/>
      <c r="K11" s="4"/>
    </row>
    <row r="12" spans="1:11" x14ac:dyDescent="0.25">
      <c r="A12" s="8" t="s">
        <v>114</v>
      </c>
      <c r="B12" s="20" t="s">
        <v>115</v>
      </c>
      <c r="C12" s="21"/>
      <c r="D12" s="21"/>
      <c r="E12" s="21"/>
      <c r="F12" s="21"/>
      <c r="G12" s="21"/>
      <c r="H12" s="21"/>
      <c r="I12" s="21"/>
      <c r="J12" s="21"/>
      <c r="K12" s="22"/>
    </row>
    <row r="13" spans="1:11" ht="60" customHeight="1" x14ac:dyDescent="0.25">
      <c r="A13" s="4" t="s">
        <v>114</v>
      </c>
      <c r="B13" s="4" t="s">
        <v>115</v>
      </c>
      <c r="C13" s="9" t="s">
        <v>71</v>
      </c>
      <c r="D13" s="4" t="s">
        <v>116</v>
      </c>
      <c r="E13" s="4" t="s">
        <v>521</v>
      </c>
      <c r="F13" s="4" t="s">
        <v>74</v>
      </c>
      <c r="G13" s="4"/>
      <c r="H13" s="4" t="s">
        <v>75</v>
      </c>
      <c r="I13" s="4" t="s">
        <v>76</v>
      </c>
      <c r="J13" s="4"/>
      <c r="K13" s="4"/>
    </row>
    <row r="14" spans="1:11" ht="60" customHeight="1" x14ac:dyDescent="0.25">
      <c r="A14" s="4" t="s">
        <v>114</v>
      </c>
      <c r="B14" s="4" t="s">
        <v>115</v>
      </c>
      <c r="C14" s="9" t="s">
        <v>71</v>
      </c>
      <c r="D14" s="4" t="s">
        <v>118</v>
      </c>
      <c r="E14" s="4" t="s">
        <v>521</v>
      </c>
      <c r="F14" s="4" t="s">
        <v>74</v>
      </c>
      <c r="G14" s="4"/>
      <c r="H14" s="4" t="s">
        <v>75</v>
      </c>
      <c r="I14" s="4" t="s">
        <v>76</v>
      </c>
      <c r="J14" s="4"/>
      <c r="K14" s="4"/>
    </row>
    <row r="15" spans="1:11" ht="60" customHeight="1" x14ac:dyDescent="0.25">
      <c r="A15" s="4" t="s">
        <v>114</v>
      </c>
      <c r="B15" s="4" t="s">
        <v>115</v>
      </c>
      <c r="C15" s="10" t="s">
        <v>78</v>
      </c>
      <c r="D15" s="4" t="s">
        <v>522</v>
      </c>
      <c r="E15" s="4" t="s">
        <v>521</v>
      </c>
      <c r="F15" s="4" t="s">
        <v>74</v>
      </c>
      <c r="G15" s="4"/>
      <c r="H15" s="4" t="s">
        <v>75</v>
      </c>
      <c r="I15" s="4" t="s">
        <v>76</v>
      </c>
      <c r="J15" s="4"/>
      <c r="K15" s="4"/>
    </row>
    <row r="16" spans="1:11" x14ac:dyDescent="0.25">
      <c r="A16" s="8" t="s">
        <v>120</v>
      </c>
      <c r="B16" s="20" t="s">
        <v>121</v>
      </c>
      <c r="C16" s="21"/>
      <c r="D16" s="21"/>
      <c r="E16" s="21"/>
      <c r="F16" s="21"/>
      <c r="G16" s="21"/>
      <c r="H16" s="21"/>
      <c r="I16" s="21"/>
      <c r="J16" s="21"/>
      <c r="K16" s="22"/>
    </row>
    <row r="17" spans="1:11" ht="60" customHeight="1" x14ac:dyDescent="0.25">
      <c r="A17" s="4" t="s">
        <v>120</v>
      </c>
      <c r="B17" s="4" t="s">
        <v>121</v>
      </c>
      <c r="C17" s="9" t="s">
        <v>71</v>
      </c>
      <c r="D17" s="4" t="s">
        <v>122</v>
      </c>
      <c r="E17" s="4" t="s">
        <v>523</v>
      </c>
      <c r="F17" s="4" t="s">
        <v>74</v>
      </c>
      <c r="G17" s="4"/>
      <c r="H17" s="4" t="s">
        <v>75</v>
      </c>
      <c r="I17" s="4" t="s">
        <v>76</v>
      </c>
      <c r="J17" s="4"/>
      <c r="K17" s="4"/>
    </row>
    <row r="18" spans="1:11" ht="60" customHeight="1" x14ac:dyDescent="0.25">
      <c r="A18" s="4" t="s">
        <v>120</v>
      </c>
      <c r="B18" s="4" t="s">
        <v>121</v>
      </c>
      <c r="C18" s="9" t="s">
        <v>71</v>
      </c>
      <c r="D18" s="4" t="s">
        <v>124</v>
      </c>
      <c r="E18" s="4" t="s">
        <v>523</v>
      </c>
      <c r="F18" s="4" t="s">
        <v>74</v>
      </c>
      <c r="G18" s="4"/>
      <c r="H18" s="4" t="s">
        <v>75</v>
      </c>
      <c r="I18" s="4" t="s">
        <v>76</v>
      </c>
      <c r="J18" s="4"/>
      <c r="K18" s="4"/>
    </row>
    <row r="19" spans="1:11" ht="60" customHeight="1" x14ac:dyDescent="0.25">
      <c r="A19" s="4" t="s">
        <v>120</v>
      </c>
      <c r="B19" s="4" t="s">
        <v>121</v>
      </c>
      <c r="C19" s="10" t="s">
        <v>78</v>
      </c>
      <c r="D19" s="4" t="s">
        <v>524</v>
      </c>
      <c r="E19" s="4" t="s">
        <v>523</v>
      </c>
      <c r="F19" s="4" t="s">
        <v>74</v>
      </c>
      <c r="G19" s="4"/>
      <c r="H19" s="4" t="s">
        <v>75</v>
      </c>
      <c r="I19" s="4" t="s">
        <v>76</v>
      </c>
      <c r="J19" s="4"/>
      <c r="K19" s="4"/>
    </row>
    <row r="20" spans="1:11" x14ac:dyDescent="0.25">
      <c r="A20" s="8" t="s">
        <v>131</v>
      </c>
      <c r="B20" s="20" t="s">
        <v>132</v>
      </c>
      <c r="C20" s="21"/>
      <c r="D20" s="21"/>
      <c r="E20" s="21"/>
      <c r="F20" s="21"/>
      <c r="G20" s="21"/>
      <c r="H20" s="21"/>
      <c r="I20" s="21"/>
      <c r="J20" s="21"/>
      <c r="K20" s="22"/>
    </row>
    <row r="21" spans="1:11" ht="60" customHeight="1" x14ac:dyDescent="0.25">
      <c r="A21" s="4" t="s">
        <v>131</v>
      </c>
      <c r="B21" s="4" t="s">
        <v>132</v>
      </c>
      <c r="C21" s="9" t="s">
        <v>71</v>
      </c>
      <c r="D21" s="4" t="s">
        <v>133</v>
      </c>
      <c r="E21" s="4" t="s">
        <v>525</v>
      </c>
      <c r="F21" s="4" t="s">
        <v>74</v>
      </c>
      <c r="G21" s="4"/>
      <c r="H21" s="4" t="s">
        <v>75</v>
      </c>
      <c r="I21" s="4" t="s">
        <v>76</v>
      </c>
      <c r="J21" s="4"/>
      <c r="K21" s="4"/>
    </row>
    <row r="22" spans="1:11" ht="60" customHeight="1" x14ac:dyDescent="0.25">
      <c r="A22" s="4" t="s">
        <v>131</v>
      </c>
      <c r="B22" s="4" t="s">
        <v>132</v>
      </c>
      <c r="C22" s="10" t="s">
        <v>78</v>
      </c>
      <c r="D22" s="4" t="s">
        <v>526</v>
      </c>
      <c r="E22" s="4" t="s">
        <v>525</v>
      </c>
      <c r="F22" s="4" t="s">
        <v>74</v>
      </c>
      <c r="G22" s="4"/>
      <c r="H22" s="4" t="s">
        <v>75</v>
      </c>
      <c r="I22" s="4" t="s">
        <v>76</v>
      </c>
      <c r="J22" s="4"/>
      <c r="K22" s="4"/>
    </row>
    <row r="23" spans="1:11" ht="60" customHeight="1" x14ac:dyDescent="0.25">
      <c r="A23" s="4" t="s">
        <v>131</v>
      </c>
      <c r="B23" s="4" t="s">
        <v>132</v>
      </c>
      <c r="C23" s="10" t="s">
        <v>78</v>
      </c>
      <c r="D23" s="4" t="s">
        <v>527</v>
      </c>
      <c r="E23" s="4" t="s">
        <v>525</v>
      </c>
      <c r="F23" s="4" t="s">
        <v>74</v>
      </c>
      <c r="G23" s="4"/>
      <c r="H23" s="4" t="s">
        <v>75</v>
      </c>
      <c r="I23" s="4" t="s">
        <v>76</v>
      </c>
      <c r="J23" s="4"/>
      <c r="K23" s="4"/>
    </row>
    <row r="24" spans="1:11" x14ac:dyDescent="0.25">
      <c r="A24" s="8" t="s">
        <v>164</v>
      </c>
      <c r="B24" s="20" t="s">
        <v>165</v>
      </c>
      <c r="C24" s="21"/>
      <c r="D24" s="21"/>
      <c r="E24" s="21"/>
      <c r="F24" s="21"/>
      <c r="G24" s="21"/>
      <c r="H24" s="21"/>
      <c r="I24" s="21"/>
      <c r="J24" s="21"/>
      <c r="K24" s="22"/>
    </row>
    <row r="25" spans="1:11" ht="60" customHeight="1" x14ac:dyDescent="0.25">
      <c r="A25" s="4" t="s">
        <v>164</v>
      </c>
      <c r="B25" s="4" t="s">
        <v>165</v>
      </c>
      <c r="C25" s="9" t="s">
        <v>71</v>
      </c>
      <c r="D25" s="4" t="s">
        <v>166</v>
      </c>
      <c r="E25" s="4" t="s">
        <v>528</v>
      </c>
      <c r="F25" s="4" t="s">
        <v>74</v>
      </c>
      <c r="G25" s="4"/>
      <c r="H25" s="4" t="s">
        <v>75</v>
      </c>
      <c r="I25" s="4" t="s">
        <v>76</v>
      </c>
      <c r="J25" s="4"/>
      <c r="K25" s="4"/>
    </row>
    <row r="26" spans="1:11" ht="60" customHeight="1" x14ac:dyDescent="0.25">
      <c r="A26" s="4" t="s">
        <v>164</v>
      </c>
      <c r="B26" s="4" t="s">
        <v>165</v>
      </c>
      <c r="C26" s="10" t="s">
        <v>78</v>
      </c>
      <c r="D26" s="4" t="s">
        <v>529</v>
      </c>
      <c r="E26" s="4" t="s">
        <v>528</v>
      </c>
      <c r="F26" s="4" t="s">
        <v>74</v>
      </c>
      <c r="G26" s="4"/>
      <c r="H26" s="4" t="s">
        <v>75</v>
      </c>
      <c r="I26" s="4" t="s">
        <v>76</v>
      </c>
      <c r="J26" s="4"/>
      <c r="K26" s="4"/>
    </row>
    <row r="27" spans="1:11" x14ac:dyDescent="0.25">
      <c r="A27" s="8" t="s">
        <v>169</v>
      </c>
      <c r="B27" s="20" t="s">
        <v>170</v>
      </c>
      <c r="C27" s="21"/>
      <c r="D27" s="21"/>
      <c r="E27" s="21"/>
      <c r="F27" s="21"/>
      <c r="G27" s="21"/>
      <c r="H27" s="21"/>
      <c r="I27" s="21"/>
      <c r="J27" s="21"/>
      <c r="K27" s="22"/>
    </row>
    <row r="28" spans="1:11" ht="60" customHeight="1" x14ac:dyDescent="0.25">
      <c r="A28" s="4" t="s">
        <v>169</v>
      </c>
      <c r="B28" s="4" t="s">
        <v>170</v>
      </c>
      <c r="C28" s="9" t="s">
        <v>71</v>
      </c>
      <c r="D28" s="4" t="s">
        <v>171</v>
      </c>
      <c r="E28" s="4" t="s">
        <v>530</v>
      </c>
      <c r="F28" s="4" t="s">
        <v>74</v>
      </c>
      <c r="G28" s="4"/>
      <c r="H28" s="4" t="s">
        <v>75</v>
      </c>
      <c r="I28" s="4" t="s">
        <v>76</v>
      </c>
      <c r="J28" s="4"/>
      <c r="K28" s="4"/>
    </row>
    <row r="29" spans="1:11" ht="60" customHeight="1" x14ac:dyDescent="0.25">
      <c r="A29" s="4" t="s">
        <v>169</v>
      </c>
      <c r="B29" s="4" t="s">
        <v>170</v>
      </c>
      <c r="C29" s="9" t="s">
        <v>71</v>
      </c>
      <c r="D29" s="4" t="s">
        <v>173</v>
      </c>
      <c r="E29" s="4" t="s">
        <v>530</v>
      </c>
      <c r="F29" s="4" t="s">
        <v>74</v>
      </c>
      <c r="G29" s="4"/>
      <c r="H29" s="4" t="s">
        <v>75</v>
      </c>
      <c r="I29" s="4" t="s">
        <v>76</v>
      </c>
      <c r="J29" s="4"/>
      <c r="K29" s="4"/>
    </row>
    <row r="30" spans="1:11" ht="60" customHeight="1" x14ac:dyDescent="0.25">
      <c r="A30" s="4" t="s">
        <v>169</v>
      </c>
      <c r="B30" s="4" t="s">
        <v>170</v>
      </c>
      <c r="C30" s="10" t="s">
        <v>78</v>
      </c>
      <c r="D30" s="4" t="s">
        <v>531</v>
      </c>
      <c r="E30" s="4" t="s">
        <v>530</v>
      </c>
      <c r="F30" s="4" t="s">
        <v>74</v>
      </c>
      <c r="G30" s="4"/>
      <c r="H30" s="4" t="s">
        <v>75</v>
      </c>
      <c r="I30" s="4" t="s">
        <v>76</v>
      </c>
      <c r="J30" s="4"/>
      <c r="K30" s="4"/>
    </row>
    <row r="31" spans="1:11" x14ac:dyDescent="0.25">
      <c r="A31" s="8" t="s">
        <v>175</v>
      </c>
      <c r="B31" s="20" t="s">
        <v>176</v>
      </c>
      <c r="C31" s="21"/>
      <c r="D31" s="21"/>
      <c r="E31" s="21"/>
      <c r="F31" s="21"/>
      <c r="G31" s="21"/>
      <c r="H31" s="21"/>
      <c r="I31" s="21"/>
      <c r="J31" s="21"/>
      <c r="K31" s="22"/>
    </row>
    <row r="32" spans="1:11" ht="60" customHeight="1" x14ac:dyDescent="0.25">
      <c r="A32" s="4" t="s">
        <v>175</v>
      </c>
      <c r="B32" s="4" t="s">
        <v>176</v>
      </c>
      <c r="C32" s="9" t="s">
        <v>71</v>
      </c>
      <c r="D32" s="4" t="s">
        <v>177</v>
      </c>
      <c r="E32" s="4" t="s">
        <v>532</v>
      </c>
      <c r="F32" s="4" t="s">
        <v>74</v>
      </c>
      <c r="G32" s="4"/>
      <c r="H32" s="4" t="s">
        <v>75</v>
      </c>
      <c r="I32" s="4" t="s">
        <v>76</v>
      </c>
      <c r="J32" s="4"/>
      <c r="K32" s="4"/>
    </row>
    <row r="33" spans="1:11" ht="60" customHeight="1" x14ac:dyDescent="0.25">
      <c r="A33" s="4" t="s">
        <v>175</v>
      </c>
      <c r="B33" s="4" t="s">
        <v>176</v>
      </c>
      <c r="C33" s="10" t="s">
        <v>78</v>
      </c>
      <c r="D33" s="4" t="s">
        <v>533</v>
      </c>
      <c r="E33" s="4" t="s">
        <v>532</v>
      </c>
      <c r="F33" s="4" t="s">
        <v>74</v>
      </c>
      <c r="G33" s="4"/>
      <c r="H33" s="4" t="s">
        <v>75</v>
      </c>
      <c r="I33" s="4" t="s">
        <v>76</v>
      </c>
      <c r="J33" s="4"/>
      <c r="K33" s="4"/>
    </row>
    <row r="34" spans="1:11" x14ac:dyDescent="0.25">
      <c r="A34" s="8" t="s">
        <v>185</v>
      </c>
      <c r="B34" s="20" t="s">
        <v>186</v>
      </c>
      <c r="C34" s="21"/>
      <c r="D34" s="21"/>
      <c r="E34" s="21"/>
      <c r="F34" s="21"/>
      <c r="G34" s="21"/>
      <c r="H34" s="21"/>
      <c r="I34" s="21"/>
      <c r="J34" s="21"/>
      <c r="K34" s="22"/>
    </row>
    <row r="35" spans="1:11" ht="60" customHeight="1" x14ac:dyDescent="0.25">
      <c r="A35" s="4" t="s">
        <v>185</v>
      </c>
      <c r="B35" s="4" t="s">
        <v>186</v>
      </c>
      <c r="C35" s="9" t="s">
        <v>71</v>
      </c>
      <c r="D35" s="4" t="s">
        <v>187</v>
      </c>
      <c r="E35" s="4" t="s">
        <v>534</v>
      </c>
      <c r="F35" s="4" t="s">
        <v>74</v>
      </c>
      <c r="G35" s="4"/>
      <c r="H35" s="4" t="s">
        <v>75</v>
      </c>
      <c r="I35" s="4" t="s">
        <v>76</v>
      </c>
      <c r="J35" s="4"/>
      <c r="K35" s="4"/>
    </row>
    <row r="36" spans="1:11" ht="60" customHeight="1" x14ac:dyDescent="0.25">
      <c r="A36" s="4" t="s">
        <v>185</v>
      </c>
      <c r="B36" s="4" t="s">
        <v>186</v>
      </c>
      <c r="C36" s="10" t="s">
        <v>78</v>
      </c>
      <c r="D36" s="4" t="s">
        <v>535</v>
      </c>
      <c r="E36" s="4" t="s">
        <v>534</v>
      </c>
      <c r="F36" s="4" t="s">
        <v>74</v>
      </c>
      <c r="G36" s="4"/>
      <c r="H36" s="4" t="s">
        <v>75</v>
      </c>
      <c r="I36" s="4" t="s">
        <v>76</v>
      </c>
      <c r="J36" s="4"/>
      <c r="K36" s="4"/>
    </row>
    <row r="37" spans="1:11" ht="60" customHeight="1" x14ac:dyDescent="0.25">
      <c r="A37" s="4" t="s">
        <v>185</v>
      </c>
      <c r="B37" s="4" t="s">
        <v>186</v>
      </c>
      <c r="C37" s="10" t="s">
        <v>78</v>
      </c>
      <c r="D37" s="4" t="s">
        <v>536</v>
      </c>
      <c r="E37" s="4" t="s">
        <v>534</v>
      </c>
      <c r="F37" s="4" t="s">
        <v>74</v>
      </c>
      <c r="G37" s="4"/>
      <c r="H37" s="4" t="s">
        <v>75</v>
      </c>
      <c r="I37" s="4" t="s">
        <v>76</v>
      </c>
      <c r="J37" s="4"/>
      <c r="K37" s="4"/>
    </row>
    <row r="38" spans="1:11" x14ac:dyDescent="0.25">
      <c r="A38" s="8" t="s">
        <v>191</v>
      </c>
      <c r="B38" s="20" t="s">
        <v>192</v>
      </c>
      <c r="C38" s="21"/>
      <c r="D38" s="21"/>
      <c r="E38" s="21"/>
      <c r="F38" s="21"/>
      <c r="G38" s="21"/>
      <c r="H38" s="21"/>
      <c r="I38" s="21"/>
      <c r="J38" s="21"/>
      <c r="K38" s="22"/>
    </row>
    <row r="39" spans="1:11" ht="60" customHeight="1" x14ac:dyDescent="0.25">
      <c r="A39" s="4" t="s">
        <v>191</v>
      </c>
      <c r="B39" s="4" t="s">
        <v>192</v>
      </c>
      <c r="C39" s="9" t="s">
        <v>71</v>
      </c>
      <c r="D39" s="4" t="s">
        <v>193</v>
      </c>
      <c r="E39" s="4" t="s">
        <v>285</v>
      </c>
      <c r="F39" s="4" t="s">
        <v>74</v>
      </c>
      <c r="G39" s="4"/>
      <c r="H39" s="4" t="s">
        <v>75</v>
      </c>
      <c r="I39" s="4" t="s">
        <v>76</v>
      </c>
      <c r="J39" s="4"/>
      <c r="K39" s="4"/>
    </row>
    <row r="40" spans="1:11" ht="60" customHeight="1" x14ac:dyDescent="0.25">
      <c r="A40" s="4" t="s">
        <v>191</v>
      </c>
      <c r="B40" s="4" t="s">
        <v>192</v>
      </c>
      <c r="C40" s="10" t="s">
        <v>78</v>
      </c>
      <c r="D40" s="4" t="s">
        <v>537</v>
      </c>
      <c r="E40" s="4" t="s">
        <v>285</v>
      </c>
      <c r="F40" s="4" t="s">
        <v>74</v>
      </c>
      <c r="G40" s="4"/>
      <c r="H40" s="4" t="s">
        <v>75</v>
      </c>
      <c r="I40" s="4" t="s">
        <v>76</v>
      </c>
      <c r="J40" s="4"/>
      <c r="K40" s="4"/>
    </row>
    <row r="41" spans="1:11" x14ac:dyDescent="0.25">
      <c r="A41" s="8" t="s">
        <v>197</v>
      </c>
      <c r="B41" s="20" t="s">
        <v>198</v>
      </c>
      <c r="C41" s="21"/>
      <c r="D41" s="21"/>
      <c r="E41" s="21"/>
      <c r="F41" s="21"/>
      <c r="G41" s="21"/>
      <c r="H41" s="21"/>
      <c r="I41" s="21"/>
      <c r="J41" s="21"/>
      <c r="K41" s="22"/>
    </row>
    <row r="42" spans="1:11" ht="60" customHeight="1" x14ac:dyDescent="0.25">
      <c r="A42" s="4" t="s">
        <v>197</v>
      </c>
      <c r="B42" s="4" t="s">
        <v>198</v>
      </c>
      <c r="C42" s="9" t="s">
        <v>71</v>
      </c>
      <c r="D42" s="4" t="s">
        <v>199</v>
      </c>
      <c r="E42" s="4" t="s">
        <v>538</v>
      </c>
      <c r="F42" s="4" t="s">
        <v>74</v>
      </c>
      <c r="G42" s="4"/>
      <c r="H42" s="4" t="s">
        <v>75</v>
      </c>
      <c r="I42" s="4" t="s">
        <v>76</v>
      </c>
      <c r="J42" s="4"/>
      <c r="K42" s="4"/>
    </row>
    <row r="43" spans="1:11" ht="60" customHeight="1" x14ac:dyDescent="0.25">
      <c r="A43" s="4" t="s">
        <v>197</v>
      </c>
      <c r="B43" s="4" t="s">
        <v>198</v>
      </c>
      <c r="C43" s="10" t="s">
        <v>78</v>
      </c>
      <c r="D43" s="4" t="s">
        <v>539</v>
      </c>
      <c r="E43" s="4" t="s">
        <v>538</v>
      </c>
      <c r="F43" s="4" t="s">
        <v>74</v>
      </c>
      <c r="G43" s="4"/>
      <c r="H43" s="4" t="s">
        <v>75</v>
      </c>
      <c r="I43" s="4" t="s">
        <v>76</v>
      </c>
      <c r="J43" s="4"/>
      <c r="K43" s="4"/>
    </row>
    <row r="44" spans="1:11" x14ac:dyDescent="0.25">
      <c r="A44" s="8" t="s">
        <v>202</v>
      </c>
      <c r="B44" s="20" t="s">
        <v>203</v>
      </c>
      <c r="C44" s="21"/>
      <c r="D44" s="21"/>
      <c r="E44" s="21"/>
      <c r="F44" s="21"/>
      <c r="G44" s="21"/>
      <c r="H44" s="21"/>
      <c r="I44" s="21"/>
      <c r="J44" s="21"/>
      <c r="K44" s="22"/>
    </row>
    <row r="45" spans="1:11" ht="60" customHeight="1" x14ac:dyDescent="0.25">
      <c r="A45" s="4" t="s">
        <v>202</v>
      </c>
      <c r="B45" s="4" t="s">
        <v>203</v>
      </c>
      <c r="C45" s="9" t="s">
        <v>71</v>
      </c>
      <c r="D45" s="4" t="s">
        <v>204</v>
      </c>
      <c r="E45" s="4" t="s">
        <v>540</v>
      </c>
      <c r="F45" s="4" t="s">
        <v>74</v>
      </c>
      <c r="G45" s="4"/>
      <c r="H45" s="4" t="s">
        <v>75</v>
      </c>
      <c r="I45" s="4" t="s">
        <v>76</v>
      </c>
      <c r="J45" s="4"/>
      <c r="K45" s="4"/>
    </row>
    <row r="46" spans="1:11" ht="60" customHeight="1" x14ac:dyDescent="0.25">
      <c r="A46" s="4" t="s">
        <v>202</v>
      </c>
      <c r="B46" s="4" t="s">
        <v>203</v>
      </c>
      <c r="C46" s="10" t="s">
        <v>78</v>
      </c>
      <c r="D46" s="4" t="s">
        <v>541</v>
      </c>
      <c r="E46" s="4" t="s">
        <v>540</v>
      </c>
      <c r="F46" s="4" t="s">
        <v>74</v>
      </c>
      <c r="G46" s="4"/>
      <c r="H46" s="4" t="s">
        <v>75</v>
      </c>
      <c r="I46" s="4" t="s">
        <v>76</v>
      </c>
      <c r="J46" s="4"/>
      <c r="K46" s="4"/>
    </row>
    <row r="47" spans="1:11" x14ac:dyDescent="0.25">
      <c r="A47" s="8" t="s">
        <v>207</v>
      </c>
      <c r="B47" s="20" t="s">
        <v>208</v>
      </c>
      <c r="C47" s="21"/>
      <c r="D47" s="21"/>
      <c r="E47" s="21"/>
      <c r="F47" s="21"/>
      <c r="G47" s="21"/>
      <c r="H47" s="21"/>
      <c r="I47" s="21"/>
      <c r="J47" s="21"/>
      <c r="K47" s="22"/>
    </row>
    <row r="48" spans="1:11" ht="60" customHeight="1" x14ac:dyDescent="0.25">
      <c r="A48" s="4" t="s">
        <v>207</v>
      </c>
      <c r="B48" s="4" t="s">
        <v>208</v>
      </c>
      <c r="C48" s="9" t="s">
        <v>71</v>
      </c>
      <c r="D48" s="4" t="s">
        <v>209</v>
      </c>
      <c r="E48" s="4" t="s">
        <v>291</v>
      </c>
      <c r="F48" s="4" t="s">
        <v>74</v>
      </c>
      <c r="G48" s="4"/>
      <c r="H48" s="4" t="s">
        <v>75</v>
      </c>
      <c r="I48" s="4" t="s">
        <v>76</v>
      </c>
      <c r="J48" s="4"/>
      <c r="K48" s="4"/>
    </row>
    <row r="49" spans="1:11" ht="60" customHeight="1" x14ac:dyDescent="0.25">
      <c r="A49" s="4" t="s">
        <v>207</v>
      </c>
      <c r="B49" s="4" t="s">
        <v>208</v>
      </c>
      <c r="C49" s="10" t="s">
        <v>78</v>
      </c>
      <c r="D49" s="4" t="s">
        <v>542</v>
      </c>
      <c r="E49" s="4" t="s">
        <v>291</v>
      </c>
      <c r="F49" s="4" t="s">
        <v>74</v>
      </c>
      <c r="G49" s="4"/>
      <c r="H49" s="4" t="s">
        <v>75</v>
      </c>
      <c r="I49" s="4" t="s">
        <v>76</v>
      </c>
      <c r="J49" s="4"/>
      <c r="K49" s="4"/>
    </row>
    <row r="50" spans="1:11" x14ac:dyDescent="0.25">
      <c r="A50" s="8" t="s">
        <v>146</v>
      </c>
      <c r="B50" s="20" t="s">
        <v>147</v>
      </c>
      <c r="C50" s="21"/>
      <c r="D50" s="21"/>
      <c r="E50" s="21"/>
      <c r="F50" s="21"/>
      <c r="G50" s="21"/>
      <c r="H50" s="21"/>
      <c r="I50" s="21"/>
      <c r="J50" s="21"/>
      <c r="K50" s="22"/>
    </row>
    <row r="51" spans="1:11" ht="60" customHeight="1" x14ac:dyDescent="0.25">
      <c r="A51" s="4" t="s">
        <v>146</v>
      </c>
      <c r="B51" s="4" t="s">
        <v>147</v>
      </c>
      <c r="C51" s="9" t="s">
        <v>71</v>
      </c>
      <c r="D51" s="4" t="s">
        <v>148</v>
      </c>
      <c r="E51" s="4" t="s">
        <v>543</v>
      </c>
      <c r="F51" s="4" t="s">
        <v>74</v>
      </c>
      <c r="G51" s="4"/>
      <c r="H51" s="4" t="s">
        <v>75</v>
      </c>
      <c r="I51" s="4" t="s">
        <v>76</v>
      </c>
      <c r="J51" s="4"/>
      <c r="K51" s="4"/>
    </row>
    <row r="52" spans="1:11" ht="60" customHeight="1" x14ac:dyDescent="0.25">
      <c r="A52" s="4" t="s">
        <v>146</v>
      </c>
      <c r="B52" s="4" t="s">
        <v>147</v>
      </c>
      <c r="C52" s="10" t="s">
        <v>78</v>
      </c>
      <c r="D52" s="4" t="s">
        <v>544</v>
      </c>
      <c r="E52" s="4" t="s">
        <v>543</v>
      </c>
      <c r="F52" s="4" t="s">
        <v>74</v>
      </c>
      <c r="G52" s="4"/>
      <c r="H52" s="4" t="s">
        <v>75</v>
      </c>
      <c r="I52" s="4" t="s">
        <v>76</v>
      </c>
      <c r="J52" s="4"/>
      <c r="K52" s="4"/>
    </row>
  </sheetData>
  <mergeCells count="15">
    <mergeCell ref="A1:K1"/>
    <mergeCell ref="A2:K2"/>
    <mergeCell ref="B12:K12"/>
    <mergeCell ref="B24:K24"/>
    <mergeCell ref="B16:K16"/>
    <mergeCell ref="B20:K20"/>
    <mergeCell ref="B31:K31"/>
    <mergeCell ref="B41:K41"/>
    <mergeCell ref="B8:K8"/>
    <mergeCell ref="B34:K34"/>
    <mergeCell ref="B50:K50"/>
    <mergeCell ref="B27:K27"/>
    <mergeCell ref="B44:K44"/>
    <mergeCell ref="B38:K38"/>
    <mergeCell ref="B47:K47"/>
  </mergeCells>
  <dataValidations count="2">
    <dataValidation type="list" allowBlank="1" sqref="H8:H52" xr:uid="{00000000-0002-0000-1100-000000000000}">
      <formula1>"Pending,Conformant,Minor NC,Major NC,OFI,N/A"</formula1>
    </dataValidation>
    <dataValidation type="list" allowBlank="1" sqref="I8:I52" xr:uid="{00000000-0002-0000-11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9"/>
  <sheetViews>
    <sheetView workbookViewId="0">
      <pane ySplit="7" topLeftCell="A8" activePane="bottomLeft" state="frozen"/>
      <selection activeCell="E9" sqref="E9"/>
      <selection pane="bottomLeft" activeCell="E9" sqref="E9"/>
    </sheetView>
  </sheetViews>
  <sheetFormatPr defaultRowHeight="15" x14ac:dyDescent="0.25"/>
  <cols>
    <col min="1" max="1" width="8" customWidth="1"/>
    <col min="2" max="2" width="22" customWidth="1"/>
    <col min="3" max="3" width="10" customWidth="1"/>
    <col min="4" max="4" width="55" customWidth="1"/>
    <col min="5" max="7" width="38" customWidth="1"/>
    <col min="8" max="9" width="14" customWidth="1"/>
    <col min="10" max="11" width="16" customWidth="1"/>
  </cols>
  <sheetData>
    <row r="1" spans="1:11" ht="18" x14ac:dyDescent="0.25">
      <c r="A1" s="33" t="s">
        <v>545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8" t="s">
        <v>546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18" customHeight="1" x14ac:dyDescent="0.25">
      <c r="A4" s="6" t="s">
        <v>49</v>
      </c>
      <c r="C4" s="6" t="s">
        <v>50</v>
      </c>
      <c r="F4" s="6" t="s">
        <v>51</v>
      </c>
      <c r="I4" s="6" t="s">
        <v>52</v>
      </c>
      <c r="K4" s="6" t="s">
        <v>53</v>
      </c>
    </row>
    <row r="5" spans="1:11" ht="18" customHeight="1" x14ac:dyDescent="0.25">
      <c r="A5" s="6" t="s">
        <v>54</v>
      </c>
      <c r="C5" s="6" t="s">
        <v>55</v>
      </c>
      <c r="D5" t="s">
        <v>56</v>
      </c>
      <c r="F5" s="6" t="s">
        <v>57</v>
      </c>
      <c r="K5" s="7">
        <f>IFERROR(COUNTIF(H8:H39,"Conformant")/(COUNTA(H8:H39)-COUNTIF(H8:H39,"Pending")-COUNTIF(H8:H39,"N/A")),0)</f>
        <v>0</v>
      </c>
    </row>
    <row r="7" spans="1:11" ht="27.95" customHeight="1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8" t="s">
        <v>69</v>
      </c>
      <c r="B8" s="20" t="s">
        <v>70</v>
      </c>
      <c r="C8" s="21"/>
      <c r="D8" s="21"/>
      <c r="E8" s="21"/>
      <c r="F8" s="21"/>
      <c r="G8" s="21"/>
      <c r="H8" s="21"/>
      <c r="I8" s="21"/>
      <c r="J8" s="21"/>
      <c r="K8" s="22"/>
    </row>
    <row r="9" spans="1:11" ht="60" customHeight="1" x14ac:dyDescent="0.25">
      <c r="A9" s="4" t="s">
        <v>69</v>
      </c>
      <c r="B9" s="4" t="s">
        <v>70</v>
      </c>
      <c r="C9" s="9" t="s">
        <v>71</v>
      </c>
      <c r="D9" s="4" t="s">
        <v>72</v>
      </c>
      <c r="E9" s="4" t="s">
        <v>547</v>
      </c>
      <c r="F9" s="4" t="s">
        <v>74</v>
      </c>
      <c r="G9" s="4"/>
      <c r="H9" s="4" t="s">
        <v>574</v>
      </c>
      <c r="I9" s="4" t="s">
        <v>575</v>
      </c>
      <c r="J9" s="4"/>
      <c r="K9" s="4"/>
    </row>
    <row r="10" spans="1:11" ht="60" customHeight="1" x14ac:dyDescent="0.25">
      <c r="A10" s="4" t="s">
        <v>69</v>
      </c>
      <c r="B10" s="4" t="s">
        <v>70</v>
      </c>
      <c r="C10" s="9" t="s">
        <v>71</v>
      </c>
      <c r="D10" s="4" t="s">
        <v>77</v>
      </c>
      <c r="E10" s="4" t="s">
        <v>547</v>
      </c>
      <c r="F10" s="4" t="s">
        <v>74</v>
      </c>
      <c r="G10" s="4"/>
      <c r="H10" s="4" t="s">
        <v>75</v>
      </c>
      <c r="I10" s="4" t="s">
        <v>76</v>
      </c>
      <c r="J10" s="4"/>
      <c r="K10" s="4"/>
    </row>
    <row r="11" spans="1:11" ht="60" customHeight="1" x14ac:dyDescent="0.25">
      <c r="A11" s="4" t="s">
        <v>69</v>
      </c>
      <c r="B11" s="4" t="s">
        <v>70</v>
      </c>
      <c r="C11" s="10" t="s">
        <v>78</v>
      </c>
      <c r="D11" s="4" t="s">
        <v>548</v>
      </c>
      <c r="E11" s="4" t="s">
        <v>547</v>
      </c>
      <c r="F11" s="4" t="s">
        <v>74</v>
      </c>
      <c r="G11" s="4"/>
      <c r="H11" s="4" t="s">
        <v>75</v>
      </c>
      <c r="I11" s="4" t="s">
        <v>76</v>
      </c>
      <c r="J11" s="4"/>
      <c r="K11" s="4"/>
    </row>
    <row r="12" spans="1:11" x14ac:dyDescent="0.25">
      <c r="A12" s="8" t="s">
        <v>81</v>
      </c>
      <c r="B12" s="20" t="s">
        <v>82</v>
      </c>
      <c r="C12" s="21"/>
      <c r="D12" s="21"/>
      <c r="E12" s="21"/>
      <c r="F12" s="21"/>
      <c r="G12" s="21"/>
      <c r="H12" s="21"/>
      <c r="I12" s="21"/>
      <c r="J12" s="21"/>
      <c r="K12" s="22"/>
    </row>
    <row r="13" spans="1:11" ht="60" customHeight="1" x14ac:dyDescent="0.25">
      <c r="A13" s="4" t="s">
        <v>81</v>
      </c>
      <c r="B13" s="4" t="s">
        <v>82</v>
      </c>
      <c r="C13" s="9" t="s">
        <v>71</v>
      </c>
      <c r="D13" s="4" t="s">
        <v>83</v>
      </c>
      <c r="E13" s="4" t="s">
        <v>549</v>
      </c>
      <c r="F13" s="4" t="s">
        <v>74</v>
      </c>
      <c r="G13" s="4"/>
      <c r="H13" s="4" t="s">
        <v>75</v>
      </c>
      <c r="I13" s="4" t="s">
        <v>76</v>
      </c>
      <c r="J13" s="4"/>
      <c r="K13" s="4"/>
    </row>
    <row r="14" spans="1:11" ht="60" customHeight="1" x14ac:dyDescent="0.25">
      <c r="A14" s="4" t="s">
        <v>81</v>
      </c>
      <c r="B14" s="4" t="s">
        <v>82</v>
      </c>
      <c r="C14" s="9" t="s">
        <v>71</v>
      </c>
      <c r="D14" s="4" t="s">
        <v>85</v>
      </c>
      <c r="E14" s="4" t="s">
        <v>549</v>
      </c>
      <c r="F14" s="4" t="s">
        <v>74</v>
      </c>
      <c r="G14" s="4"/>
      <c r="H14" s="4" t="s">
        <v>75</v>
      </c>
      <c r="I14" s="4" t="s">
        <v>76</v>
      </c>
      <c r="J14" s="4"/>
      <c r="K14" s="4"/>
    </row>
    <row r="15" spans="1:11" ht="60" customHeight="1" x14ac:dyDescent="0.25">
      <c r="A15" s="4" t="s">
        <v>81</v>
      </c>
      <c r="B15" s="4" t="s">
        <v>82</v>
      </c>
      <c r="C15" s="10" t="s">
        <v>78</v>
      </c>
      <c r="D15" s="4" t="s">
        <v>550</v>
      </c>
      <c r="E15" s="4" t="s">
        <v>549</v>
      </c>
      <c r="F15" s="4" t="s">
        <v>74</v>
      </c>
      <c r="G15" s="4"/>
      <c r="H15" s="4" t="s">
        <v>75</v>
      </c>
      <c r="I15" s="4" t="s">
        <v>76</v>
      </c>
      <c r="J15" s="4"/>
      <c r="K15" s="4"/>
    </row>
    <row r="16" spans="1:11" x14ac:dyDescent="0.25">
      <c r="A16" s="8" t="s">
        <v>114</v>
      </c>
      <c r="B16" s="20" t="s">
        <v>115</v>
      </c>
      <c r="C16" s="21"/>
      <c r="D16" s="21"/>
      <c r="E16" s="21"/>
      <c r="F16" s="21"/>
      <c r="G16" s="21"/>
      <c r="H16" s="21"/>
      <c r="I16" s="21"/>
      <c r="J16" s="21"/>
      <c r="K16" s="22"/>
    </row>
    <row r="17" spans="1:11" ht="60" customHeight="1" x14ac:dyDescent="0.25">
      <c r="A17" s="4" t="s">
        <v>114</v>
      </c>
      <c r="B17" s="4" t="s">
        <v>115</v>
      </c>
      <c r="C17" s="9" t="s">
        <v>71</v>
      </c>
      <c r="D17" s="4" t="s">
        <v>116</v>
      </c>
      <c r="E17" s="4" t="s">
        <v>551</v>
      </c>
      <c r="F17" s="4" t="s">
        <v>74</v>
      </c>
      <c r="G17" s="4"/>
      <c r="H17" s="4" t="s">
        <v>75</v>
      </c>
      <c r="I17" s="4" t="s">
        <v>76</v>
      </c>
      <c r="J17" s="4"/>
      <c r="K17" s="4"/>
    </row>
    <row r="18" spans="1:11" ht="60" customHeight="1" x14ac:dyDescent="0.25">
      <c r="A18" s="4" t="s">
        <v>114</v>
      </c>
      <c r="B18" s="4" t="s">
        <v>115</v>
      </c>
      <c r="C18" s="9" t="s">
        <v>71</v>
      </c>
      <c r="D18" s="4" t="s">
        <v>118</v>
      </c>
      <c r="E18" s="4" t="s">
        <v>551</v>
      </c>
      <c r="F18" s="4" t="s">
        <v>74</v>
      </c>
      <c r="G18" s="4"/>
      <c r="H18" s="4" t="s">
        <v>75</v>
      </c>
      <c r="I18" s="4" t="s">
        <v>76</v>
      </c>
      <c r="J18" s="4"/>
      <c r="K18" s="4"/>
    </row>
    <row r="19" spans="1:11" ht="60" customHeight="1" x14ac:dyDescent="0.25">
      <c r="A19" s="4" t="s">
        <v>114</v>
      </c>
      <c r="B19" s="4" t="s">
        <v>115</v>
      </c>
      <c r="C19" s="10" t="s">
        <v>78</v>
      </c>
      <c r="D19" s="4" t="s">
        <v>552</v>
      </c>
      <c r="E19" s="4" t="s">
        <v>551</v>
      </c>
      <c r="F19" s="4" t="s">
        <v>74</v>
      </c>
      <c r="G19" s="4"/>
      <c r="H19" s="4" t="s">
        <v>75</v>
      </c>
      <c r="I19" s="4" t="s">
        <v>76</v>
      </c>
      <c r="J19" s="4"/>
      <c r="K19" s="4"/>
    </row>
    <row r="20" spans="1:11" x14ac:dyDescent="0.25">
      <c r="A20" s="8" t="s">
        <v>120</v>
      </c>
      <c r="B20" s="20" t="s">
        <v>121</v>
      </c>
      <c r="C20" s="21"/>
      <c r="D20" s="21"/>
      <c r="E20" s="21"/>
      <c r="F20" s="21"/>
      <c r="G20" s="21"/>
      <c r="H20" s="21"/>
      <c r="I20" s="21"/>
      <c r="J20" s="21"/>
      <c r="K20" s="22"/>
    </row>
    <row r="21" spans="1:11" ht="60" customHeight="1" x14ac:dyDescent="0.25">
      <c r="A21" s="4" t="s">
        <v>120</v>
      </c>
      <c r="B21" s="4" t="s">
        <v>121</v>
      </c>
      <c r="C21" s="9" t="s">
        <v>71</v>
      </c>
      <c r="D21" s="4" t="s">
        <v>122</v>
      </c>
      <c r="E21" s="4" t="s">
        <v>553</v>
      </c>
      <c r="F21" s="4" t="s">
        <v>74</v>
      </c>
      <c r="G21" s="4"/>
      <c r="H21" s="4" t="s">
        <v>75</v>
      </c>
      <c r="I21" s="4" t="s">
        <v>76</v>
      </c>
      <c r="J21" s="4"/>
      <c r="K21" s="4"/>
    </row>
    <row r="22" spans="1:11" ht="60" customHeight="1" x14ac:dyDescent="0.25">
      <c r="A22" s="4" t="s">
        <v>120</v>
      </c>
      <c r="B22" s="4" t="s">
        <v>121</v>
      </c>
      <c r="C22" s="9" t="s">
        <v>71</v>
      </c>
      <c r="D22" s="4" t="s">
        <v>124</v>
      </c>
      <c r="E22" s="4" t="s">
        <v>553</v>
      </c>
      <c r="F22" s="4" t="s">
        <v>74</v>
      </c>
      <c r="G22" s="4"/>
      <c r="H22" s="4" t="s">
        <v>75</v>
      </c>
      <c r="I22" s="4" t="s">
        <v>76</v>
      </c>
      <c r="J22" s="4"/>
      <c r="K22" s="4"/>
    </row>
    <row r="23" spans="1:11" ht="60" customHeight="1" x14ac:dyDescent="0.25">
      <c r="A23" s="4" t="s">
        <v>120</v>
      </c>
      <c r="B23" s="4" t="s">
        <v>121</v>
      </c>
      <c r="C23" s="10" t="s">
        <v>78</v>
      </c>
      <c r="D23" s="4" t="s">
        <v>554</v>
      </c>
      <c r="E23" s="4" t="s">
        <v>553</v>
      </c>
      <c r="F23" s="4" t="s">
        <v>74</v>
      </c>
      <c r="G23" s="4"/>
      <c r="H23" s="4" t="s">
        <v>75</v>
      </c>
      <c r="I23" s="4" t="s">
        <v>76</v>
      </c>
      <c r="J23" s="4"/>
      <c r="K23" s="4"/>
    </row>
    <row r="24" spans="1:11" x14ac:dyDescent="0.25">
      <c r="A24" s="8" t="s">
        <v>169</v>
      </c>
      <c r="B24" s="20" t="s">
        <v>170</v>
      </c>
      <c r="C24" s="21"/>
      <c r="D24" s="21"/>
      <c r="E24" s="21"/>
      <c r="F24" s="21"/>
      <c r="G24" s="21"/>
      <c r="H24" s="21"/>
      <c r="I24" s="21"/>
      <c r="J24" s="21"/>
      <c r="K24" s="22"/>
    </row>
    <row r="25" spans="1:11" ht="60" customHeight="1" x14ac:dyDescent="0.25">
      <c r="A25" s="4" t="s">
        <v>169</v>
      </c>
      <c r="B25" s="4" t="s">
        <v>170</v>
      </c>
      <c r="C25" s="9" t="s">
        <v>71</v>
      </c>
      <c r="D25" s="4" t="s">
        <v>171</v>
      </c>
      <c r="E25" s="4" t="s">
        <v>555</v>
      </c>
      <c r="F25" s="4" t="s">
        <v>74</v>
      </c>
      <c r="G25" s="4"/>
      <c r="H25" s="4" t="s">
        <v>75</v>
      </c>
      <c r="I25" s="4" t="s">
        <v>76</v>
      </c>
      <c r="J25" s="4"/>
      <c r="K25" s="4"/>
    </row>
    <row r="26" spans="1:11" ht="60" customHeight="1" x14ac:dyDescent="0.25">
      <c r="A26" s="4" t="s">
        <v>169</v>
      </c>
      <c r="B26" s="4" t="s">
        <v>170</v>
      </c>
      <c r="C26" s="9" t="s">
        <v>71</v>
      </c>
      <c r="D26" s="4" t="s">
        <v>173</v>
      </c>
      <c r="E26" s="4" t="s">
        <v>555</v>
      </c>
      <c r="F26" s="4" t="s">
        <v>74</v>
      </c>
      <c r="G26" s="4"/>
      <c r="H26" s="4" t="s">
        <v>75</v>
      </c>
      <c r="I26" s="4" t="s">
        <v>76</v>
      </c>
      <c r="J26" s="4"/>
      <c r="K26" s="4"/>
    </row>
    <row r="27" spans="1:11" ht="60" customHeight="1" x14ac:dyDescent="0.25">
      <c r="A27" s="4" t="s">
        <v>169</v>
      </c>
      <c r="B27" s="4" t="s">
        <v>170</v>
      </c>
      <c r="C27" s="10" t="s">
        <v>78</v>
      </c>
      <c r="D27" s="4" t="s">
        <v>556</v>
      </c>
      <c r="E27" s="4" t="s">
        <v>555</v>
      </c>
      <c r="F27" s="4" t="s">
        <v>74</v>
      </c>
      <c r="G27" s="4"/>
      <c r="H27" s="4" t="s">
        <v>75</v>
      </c>
      <c r="I27" s="4" t="s">
        <v>76</v>
      </c>
      <c r="J27" s="4"/>
      <c r="K27" s="4"/>
    </row>
    <row r="28" spans="1:11" x14ac:dyDescent="0.25">
      <c r="A28" s="8" t="s">
        <v>351</v>
      </c>
      <c r="B28" s="20" t="s">
        <v>352</v>
      </c>
      <c r="C28" s="21"/>
      <c r="D28" s="21"/>
      <c r="E28" s="21"/>
      <c r="F28" s="21"/>
      <c r="G28" s="21"/>
      <c r="H28" s="21"/>
      <c r="I28" s="21"/>
      <c r="J28" s="21"/>
      <c r="K28" s="22"/>
    </row>
    <row r="29" spans="1:11" ht="60" customHeight="1" x14ac:dyDescent="0.25">
      <c r="A29" s="4" t="s">
        <v>351</v>
      </c>
      <c r="B29" s="4" t="s">
        <v>352</v>
      </c>
      <c r="C29" s="9" t="s">
        <v>71</v>
      </c>
      <c r="D29" s="4" t="s">
        <v>353</v>
      </c>
      <c r="E29" s="4" t="s">
        <v>557</v>
      </c>
      <c r="F29" s="4" t="s">
        <v>74</v>
      </c>
      <c r="G29" s="4"/>
      <c r="H29" s="4" t="s">
        <v>75</v>
      </c>
      <c r="I29" s="4" t="s">
        <v>76</v>
      </c>
      <c r="J29" s="4"/>
      <c r="K29" s="4"/>
    </row>
    <row r="30" spans="1:11" ht="60" customHeight="1" x14ac:dyDescent="0.25">
      <c r="A30" s="4" t="s">
        <v>351</v>
      </c>
      <c r="B30" s="4" t="s">
        <v>352</v>
      </c>
      <c r="C30" s="10" t="s">
        <v>78</v>
      </c>
      <c r="D30" s="4" t="s">
        <v>558</v>
      </c>
      <c r="E30" s="4" t="s">
        <v>557</v>
      </c>
      <c r="F30" s="4" t="s">
        <v>74</v>
      </c>
      <c r="G30" s="4"/>
      <c r="H30" s="4" t="s">
        <v>75</v>
      </c>
      <c r="I30" s="4" t="s">
        <v>76</v>
      </c>
      <c r="J30" s="4"/>
      <c r="K30" s="4"/>
    </row>
    <row r="31" spans="1:11" x14ac:dyDescent="0.25">
      <c r="A31" s="8" t="s">
        <v>180</v>
      </c>
      <c r="B31" s="20" t="s">
        <v>181</v>
      </c>
      <c r="C31" s="21"/>
      <c r="D31" s="21"/>
      <c r="E31" s="21"/>
      <c r="F31" s="21"/>
      <c r="G31" s="21"/>
      <c r="H31" s="21"/>
      <c r="I31" s="21"/>
      <c r="J31" s="21"/>
      <c r="K31" s="22"/>
    </row>
    <row r="32" spans="1:11" ht="60" customHeight="1" x14ac:dyDescent="0.25">
      <c r="A32" s="4" t="s">
        <v>180</v>
      </c>
      <c r="B32" s="4" t="s">
        <v>181</v>
      </c>
      <c r="C32" s="9" t="s">
        <v>71</v>
      </c>
      <c r="D32" s="4" t="s">
        <v>182</v>
      </c>
      <c r="E32" s="4" t="s">
        <v>559</v>
      </c>
      <c r="F32" s="4" t="s">
        <v>74</v>
      </c>
      <c r="G32" s="4"/>
      <c r="H32" s="4" t="s">
        <v>75</v>
      </c>
      <c r="I32" s="4" t="s">
        <v>76</v>
      </c>
      <c r="J32" s="4"/>
      <c r="K32" s="4"/>
    </row>
    <row r="33" spans="1:11" ht="60" customHeight="1" x14ac:dyDescent="0.25">
      <c r="A33" s="4" t="s">
        <v>180</v>
      </c>
      <c r="B33" s="4" t="s">
        <v>181</v>
      </c>
      <c r="C33" s="10" t="s">
        <v>78</v>
      </c>
      <c r="D33" s="4" t="s">
        <v>560</v>
      </c>
      <c r="E33" s="4" t="s">
        <v>559</v>
      </c>
      <c r="F33" s="4" t="s">
        <v>74</v>
      </c>
      <c r="G33" s="4"/>
      <c r="H33" s="4" t="s">
        <v>75</v>
      </c>
      <c r="I33" s="4" t="s">
        <v>76</v>
      </c>
      <c r="J33" s="4"/>
      <c r="K33" s="4"/>
    </row>
    <row r="34" spans="1:11" x14ac:dyDescent="0.25">
      <c r="A34" s="8" t="s">
        <v>202</v>
      </c>
      <c r="B34" s="20" t="s">
        <v>203</v>
      </c>
      <c r="C34" s="21"/>
      <c r="D34" s="21"/>
      <c r="E34" s="21"/>
      <c r="F34" s="21"/>
      <c r="G34" s="21"/>
      <c r="H34" s="21"/>
      <c r="I34" s="21"/>
      <c r="J34" s="21"/>
      <c r="K34" s="22"/>
    </row>
    <row r="35" spans="1:11" ht="60" customHeight="1" x14ac:dyDescent="0.25">
      <c r="A35" s="4" t="s">
        <v>202</v>
      </c>
      <c r="B35" s="4" t="s">
        <v>203</v>
      </c>
      <c r="C35" s="9" t="s">
        <v>71</v>
      </c>
      <c r="D35" s="4" t="s">
        <v>204</v>
      </c>
      <c r="E35" s="4" t="s">
        <v>561</v>
      </c>
      <c r="F35" s="4" t="s">
        <v>74</v>
      </c>
      <c r="G35" s="4"/>
      <c r="H35" s="4" t="s">
        <v>75</v>
      </c>
      <c r="I35" s="4" t="s">
        <v>76</v>
      </c>
      <c r="J35" s="4"/>
      <c r="K35" s="4"/>
    </row>
    <row r="36" spans="1:11" ht="60" customHeight="1" x14ac:dyDescent="0.25">
      <c r="A36" s="4" t="s">
        <v>202</v>
      </c>
      <c r="B36" s="4" t="s">
        <v>203</v>
      </c>
      <c r="C36" s="10" t="s">
        <v>78</v>
      </c>
      <c r="D36" s="4" t="s">
        <v>562</v>
      </c>
      <c r="E36" s="4" t="s">
        <v>561</v>
      </c>
      <c r="F36" s="4" t="s">
        <v>74</v>
      </c>
      <c r="G36" s="4"/>
      <c r="H36" s="4" t="s">
        <v>75</v>
      </c>
      <c r="I36" s="4" t="s">
        <v>76</v>
      </c>
      <c r="J36" s="4"/>
      <c r="K36" s="4"/>
    </row>
    <row r="37" spans="1:11" x14ac:dyDescent="0.25">
      <c r="A37" s="8" t="s">
        <v>141</v>
      </c>
      <c r="B37" s="20" t="s">
        <v>142</v>
      </c>
      <c r="C37" s="21"/>
      <c r="D37" s="21"/>
      <c r="E37" s="21"/>
      <c r="F37" s="21"/>
      <c r="G37" s="21"/>
      <c r="H37" s="21"/>
      <c r="I37" s="21"/>
      <c r="J37" s="21"/>
      <c r="K37" s="22"/>
    </row>
    <row r="38" spans="1:11" ht="60" customHeight="1" x14ac:dyDescent="0.25">
      <c r="A38" s="4" t="s">
        <v>141</v>
      </c>
      <c r="B38" s="4" t="s">
        <v>142</v>
      </c>
      <c r="C38" s="9" t="s">
        <v>71</v>
      </c>
      <c r="D38" s="4" t="s">
        <v>143</v>
      </c>
      <c r="E38" s="4" t="s">
        <v>563</v>
      </c>
      <c r="F38" s="4" t="s">
        <v>74</v>
      </c>
      <c r="G38" s="4"/>
      <c r="H38" s="4" t="s">
        <v>75</v>
      </c>
      <c r="I38" s="4" t="s">
        <v>76</v>
      </c>
      <c r="J38" s="4"/>
      <c r="K38" s="4"/>
    </row>
    <row r="39" spans="1:11" ht="60" customHeight="1" x14ac:dyDescent="0.25">
      <c r="A39" s="4" t="s">
        <v>141</v>
      </c>
      <c r="B39" s="4" t="s">
        <v>142</v>
      </c>
      <c r="C39" s="10" t="s">
        <v>78</v>
      </c>
      <c r="D39" s="4" t="s">
        <v>564</v>
      </c>
      <c r="E39" s="4" t="s">
        <v>563</v>
      </c>
      <c r="F39" s="4" t="s">
        <v>74</v>
      </c>
      <c r="G39" s="4"/>
      <c r="H39" s="4" t="s">
        <v>75</v>
      </c>
      <c r="I39" s="4" t="s">
        <v>76</v>
      </c>
      <c r="J39" s="4"/>
      <c r="K39" s="4"/>
    </row>
  </sheetData>
  <mergeCells count="11">
    <mergeCell ref="A1:K1"/>
    <mergeCell ref="B37:K37"/>
    <mergeCell ref="B31:K31"/>
    <mergeCell ref="B8:K8"/>
    <mergeCell ref="B28:K28"/>
    <mergeCell ref="B34:K34"/>
    <mergeCell ref="A2:K2"/>
    <mergeCell ref="B12:K12"/>
    <mergeCell ref="B24:K24"/>
    <mergeCell ref="B16:K16"/>
    <mergeCell ref="B20:K20"/>
  </mergeCells>
  <dataValidations count="2">
    <dataValidation type="list" allowBlank="1" sqref="H8:H39" xr:uid="{00000000-0002-0000-1200-000000000000}">
      <formula1>"Pending,Conformant,Minor NC,Major NC,OFI,N/A"</formula1>
    </dataValidation>
    <dataValidation type="list" allowBlank="1" sqref="I8:I39" xr:uid="{00000000-0002-0000-1200-000001000000}">
      <formula1>"0 - None,1 - Low,2 - Medium,3 - High,4 - Critical"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"/>
  <sheetViews>
    <sheetView tabSelected="1" workbookViewId="0">
      <pane ySplit="3" topLeftCell="A4" activePane="bottomLeft" state="frozen"/>
      <selection pane="bottomLeft" activeCell="H6" sqref="H6"/>
    </sheetView>
  </sheetViews>
  <sheetFormatPr defaultRowHeight="15" x14ac:dyDescent="0.25"/>
  <cols>
    <col min="1" max="1" width="10" customWidth="1"/>
    <col min="2" max="2" width="22" customWidth="1"/>
    <col min="3" max="3" width="8" customWidth="1"/>
    <col min="4" max="5" width="12" customWidth="1"/>
    <col min="6" max="6" width="50" customWidth="1"/>
    <col min="7" max="9" width="35" customWidth="1"/>
    <col min="10" max="10" width="40" customWidth="1"/>
    <col min="11" max="11" width="16" customWidth="1"/>
    <col min="12" max="13" width="14" customWidth="1"/>
  </cols>
  <sheetData>
    <row r="1" spans="1:13" ht="20.25" x14ac:dyDescent="0.3">
      <c r="A1" s="34" t="s">
        <v>565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3" spans="1:13" ht="27.95" customHeight="1" x14ac:dyDescent="0.25">
      <c r="A3" s="1" t="s">
        <v>566</v>
      </c>
      <c r="B3" s="1" t="s">
        <v>3</v>
      </c>
      <c r="C3" s="1" t="s">
        <v>58</v>
      </c>
      <c r="D3" s="1" t="s">
        <v>60</v>
      </c>
      <c r="E3" s="1" t="s">
        <v>567</v>
      </c>
      <c r="F3" s="1" t="s">
        <v>568</v>
      </c>
      <c r="G3" s="1" t="s">
        <v>569</v>
      </c>
      <c r="H3" s="1" t="s">
        <v>576</v>
      </c>
      <c r="I3" s="1" t="s">
        <v>570</v>
      </c>
      <c r="J3" s="1" t="s">
        <v>571</v>
      </c>
      <c r="K3" s="1" t="s">
        <v>572</v>
      </c>
      <c r="L3" s="1" t="s">
        <v>573</v>
      </c>
      <c r="M3" s="1" t="s">
        <v>65</v>
      </c>
    </row>
  </sheetData>
  <mergeCells count="1">
    <mergeCell ref="A1:K1"/>
  </mergeCells>
  <dataValidations count="3">
    <dataValidation type="list" allowBlank="1" sqref="D4:D500" xr:uid="{00000000-0002-0000-1300-000000000000}">
      <formula1>"Major NC,Minor NC,OFI,Observation"</formula1>
    </dataValidation>
    <dataValidation type="list" allowBlank="1" sqref="E4:E500" xr:uid="{00000000-0002-0000-1300-000001000000}">
      <formula1>"0 - None,1 - Low,2 - Medium,3 - High,4 - Critical"</formula1>
    </dataValidation>
    <dataValidation type="list" allowBlank="1" sqref="M4:M500" xr:uid="{00000000-0002-0000-1300-000002000000}">
      <formula1>"Open,In Progress,Verification,Closed"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Index</vt:lpstr>
      <vt:lpstr>Top Management</vt:lpstr>
      <vt:lpstr>QA - QC</vt:lpstr>
      <vt:lpstr>QMS - Quality Management</vt:lpstr>
      <vt:lpstr>Human Resources</vt:lpstr>
      <vt:lpstr>Operations</vt:lpstr>
      <vt:lpstr>Engineering - Design</vt:lpstr>
      <vt:lpstr>Construction</vt:lpstr>
      <vt:lpstr>Sales</vt:lpstr>
      <vt:lpstr>Marketing</vt:lpstr>
      <vt:lpstr>Procurement</vt:lpstr>
      <vt:lpstr>Finance &amp; Accounts</vt:lpstr>
      <vt:lpstr>Store</vt:lpstr>
      <vt:lpstr>ICT - IT</vt:lpstr>
      <vt:lpstr>Warehouse</vt:lpstr>
      <vt:lpstr>Project Management</vt:lpstr>
      <vt:lpstr>Administration</vt:lpstr>
      <vt:lpstr>Production - Manufacturing</vt:lpstr>
      <vt:lpstr>Business Development</vt:lpstr>
      <vt:lpstr>Findings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Abraham Emmanuel</cp:lastModifiedBy>
  <dcterms:created xsi:type="dcterms:W3CDTF">2026-05-03T19:30:17Z</dcterms:created>
  <dcterms:modified xsi:type="dcterms:W3CDTF">2026-05-20T20:08:35Z</dcterms:modified>
</cp:coreProperties>
</file>