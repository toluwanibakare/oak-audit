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CB3DFC2-1ED2-461A-A21F-22F6338E7492}" xr6:coauthVersionLast="47" xr6:coauthVersionMax="47" xr10:uidLastSave="{00000000-0000-0000-0000-000000000000}"/>
  <bookViews>
    <workbookView xWindow="-110" yWindow="-110" windowWidth="19420" windowHeight="10420" firstSheet="3" activeTab="3" xr2:uid="{00000000-000D-0000-FFFF-FFFF00000000}"/>
  </bookViews>
  <sheets>
    <sheet name="Cover" sheetId="1" r:id="rId1"/>
    <sheet name="Dashboard" sheetId="2" r:id="rId2"/>
    <sheet name="NC &amp; Incident Log" sheetId="3" r:id="rId3"/>
    <sheet name="Root Cause Analysis" sheetId="4" r:id="rId4"/>
    <sheet name="CAPA Register" sheetId="5" r:id="rId5"/>
    <sheet name="Effectiveness Review" sheetId="6" r:id="rId6"/>
    <sheet name="Recurrence Tracker" sheetId="7" r:id="rId7"/>
    <sheet name="ISO Clause Mapping" sheetId="8" r:id="rId8"/>
    <sheet name="Cost of Poor Quality" sheetId="9" r:id="rId9"/>
    <sheet name="Lessons Learned" sheetId="10" r:id="rId10"/>
    <sheet name="Reference Guide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" i="9" l="1"/>
  <c r="F31" i="9"/>
  <c r="E31" i="9"/>
  <c r="D31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31" i="9" s="1"/>
  <c r="H10" i="2" s="1"/>
  <c r="H5" i="9"/>
  <c r="H4" i="9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F20" i="2"/>
  <c r="C20" i="2"/>
  <c r="F19" i="2"/>
  <c r="C19" i="2"/>
  <c r="I18" i="2"/>
  <c r="F18" i="2"/>
  <c r="C18" i="2"/>
  <c r="I17" i="2"/>
  <c r="F17" i="2"/>
  <c r="C17" i="2"/>
  <c r="I16" i="2"/>
  <c r="F16" i="2"/>
  <c r="C16" i="2"/>
  <c r="I15" i="2"/>
  <c r="F15" i="2"/>
  <c r="C15" i="2"/>
  <c r="F10" i="2"/>
  <c r="D10" i="2"/>
  <c r="B10" i="2"/>
  <c r="H6" i="2"/>
  <c r="F6" i="2"/>
  <c r="D6" i="2"/>
  <c r="B6" i="2"/>
</calcChain>
</file>

<file path=xl/sharedStrings.xml><?xml version="1.0" encoding="utf-8"?>
<sst xmlns="http://schemas.openxmlformats.org/spreadsheetml/2006/main" count="666" uniqueCount="471">
  <si>
    <t>CORRECTIVE &amp; PREVENTIVE ACTION (CAPA)</t>
  </si>
  <si>
    <t>Comprehensive Management of Nonconformities, Incidents &amp; Root Causes — ISO 9001 / 14001 / 45001</t>
  </si>
  <si>
    <t>Organization Profile</t>
  </si>
  <si>
    <t>Organization</t>
  </si>
  <si>
    <t>[Enter organization]</t>
  </si>
  <si>
    <t>Site / Location</t>
  </si>
  <si>
    <t>[Enter site]</t>
  </si>
  <si>
    <t>Management Representative</t>
  </si>
  <si>
    <t>[Name]</t>
  </si>
  <si>
    <t>Reporting Period</t>
  </si>
  <si>
    <t>[YYYY-MM-DD to YYYY-MM-DD]</t>
  </si>
  <si>
    <t>Standards in Scope</t>
  </si>
  <si>
    <t>ISO 9001 · ISO 14001 · ISO 45001</t>
  </si>
  <si>
    <t>Document Owner</t>
  </si>
  <si>
    <t>Quality, HSE &amp; Compliance</t>
  </si>
  <si>
    <t>Revision</t>
  </si>
  <si>
    <t>Rev 1.0 — June 2026</t>
  </si>
  <si>
    <t>Workbook Contents</t>
  </si>
  <si>
    <t>1. Dashboard</t>
  </si>
  <si>
    <t>Live KPIs, status, source mix, ISO clause heatmap</t>
  </si>
  <si>
    <t>2. NC &amp; Incident Log</t>
  </si>
  <si>
    <t>Master register of nonconformities, incidents, audit findings, complaints</t>
  </si>
  <si>
    <t>3. Root Cause Analysis</t>
  </si>
  <si>
    <t>5-Why, Fishbone (6M), Pareto linkage per CAPA</t>
  </si>
  <si>
    <t>4. CAPA Register</t>
  </si>
  <si>
    <t>Corrective &amp; preventive actions with owners, dates, verification</t>
  </si>
  <si>
    <t>5. Effectiveness Review</t>
  </si>
  <si>
    <t>Post-implementation verification &amp; closure approval</t>
  </si>
  <si>
    <t>6. Recurrence Tracker</t>
  </si>
  <si>
    <t>Repeat NC/incident detection by category &amp; clause</t>
  </si>
  <si>
    <t>7. ISO Clause Mapping</t>
  </si>
  <si>
    <t>Linkage to 9001/14001/45001 clauses 4–10</t>
  </si>
  <si>
    <t>8. Cost of Poor Quality</t>
  </si>
  <si>
    <t>Direct, indirect, and prevention cost capture</t>
  </si>
  <si>
    <t>9. Lessons Learned</t>
  </si>
  <si>
    <t>Knowledge capture for institutional learning</t>
  </si>
  <si>
    <t>10. Reference Guide</t>
  </si>
  <si>
    <t>Procedure, definitions, RACI, escalation matrix</t>
  </si>
  <si>
    <t>Confidential — for internal management system use only.</t>
  </si>
  <si>
    <t>CAPA MANAGEMENT DASHBOARD</t>
  </si>
  <si>
    <t>Live indicators from the NC Log and CAPA Register.</t>
  </si>
  <si>
    <t>Total NCs Logged</t>
  </si>
  <si>
    <t>Open CAPAs</t>
  </si>
  <si>
    <t>Overdue</t>
  </si>
  <si>
    <t>Closed</t>
  </si>
  <si>
    <t>Effective CAPAs</t>
  </si>
  <si>
    <t>Recurrence Items</t>
  </si>
  <si>
    <t>High Risk NCs (≥15)</t>
  </si>
  <si>
    <t>Total COPQ (₦)</t>
  </si>
  <si>
    <t>Status Breakdown</t>
  </si>
  <si>
    <t>Status</t>
  </si>
  <si>
    <t>Count</t>
  </si>
  <si>
    <t>Source</t>
  </si>
  <si>
    <t>Standard</t>
  </si>
  <si>
    <t>Open</t>
  </si>
  <si>
    <t>Internal Audit</t>
  </si>
  <si>
    <t>ISO 9001</t>
  </si>
  <si>
    <t>In Progress</t>
  </si>
  <si>
    <t>External Audit</t>
  </si>
  <si>
    <t>ISO 14001</t>
  </si>
  <si>
    <t>Pending Verification</t>
  </si>
  <si>
    <t>Incident</t>
  </si>
  <si>
    <t>ISO 45001</t>
  </si>
  <si>
    <t>Near Miss</t>
  </si>
  <si>
    <t>Integrated</t>
  </si>
  <si>
    <t>Customer Complaint</t>
  </si>
  <si>
    <t>Cancelled</t>
  </si>
  <si>
    <t>Inspection</t>
  </si>
  <si>
    <t>NC &amp; INCIDENT LOG — Master Register</t>
  </si>
  <si>
    <t>Capture every nonconformity, incident, audit finding, customer complaint, or near miss.</t>
  </si>
  <si>
    <t>NC ID</t>
  </si>
  <si>
    <t>Date Raised</t>
  </si>
  <si>
    <t>Type</t>
  </si>
  <si>
    <t>Clause</t>
  </si>
  <si>
    <t>Site/Process</t>
  </si>
  <si>
    <t>Description</t>
  </si>
  <si>
    <t>Immediate Containment</t>
  </si>
  <si>
    <t>Severity (1-5)</t>
  </si>
  <si>
    <t>Likelihood (1-5)</t>
  </si>
  <si>
    <t>Risk Score</t>
  </si>
  <si>
    <t>Reported By</t>
  </si>
  <si>
    <t>Assigned Owner</t>
  </si>
  <si>
    <t>Target Closure</t>
  </si>
  <si>
    <t>Linked CAPA ID</t>
  </si>
  <si>
    <t>Recurrence?</t>
  </si>
  <si>
    <t>NC-001</t>
  </si>
  <si>
    <t>2026-05-12</t>
  </si>
  <si>
    <t>Major NC</t>
  </si>
  <si>
    <t>8.5</t>
  </si>
  <si>
    <t>Production Line A</t>
  </si>
  <si>
    <t>Calibration of torque wrench expired 45 days prior to use on critical assembly.</t>
  </si>
  <si>
    <t>Quarantined batch; recalibrated tool.</t>
  </si>
  <si>
    <t>J. Adeyemi</t>
  </si>
  <si>
    <t>O. Bello</t>
  </si>
  <si>
    <t>2026-06-30</t>
  </si>
  <si>
    <t>CAPA-001</t>
  </si>
  <si>
    <t>No</t>
  </si>
  <si>
    <t>NC-002</t>
  </si>
  <si>
    <t>2026-05-18</t>
  </si>
  <si>
    <t>Minor NC</t>
  </si>
  <si>
    <t>8.1.2</t>
  </si>
  <si>
    <t>Warehouse</t>
  </si>
  <si>
    <t>Forklift near miss with pedestrian at blind corner.</t>
  </si>
  <si>
    <t>Cordoned area; toolbox talk issued.</t>
  </si>
  <si>
    <t>S. Musa</t>
  </si>
  <si>
    <t>T. Okafor</t>
  </si>
  <si>
    <t>2026-06-15</t>
  </si>
  <si>
    <t>CAPA-002</t>
  </si>
  <si>
    <t>Yes</t>
  </si>
  <si>
    <t>NC-003</t>
  </si>
  <si>
    <t>2026-05-22</t>
  </si>
  <si>
    <t>8.7</t>
  </si>
  <si>
    <t>Dispatch</t>
  </si>
  <si>
    <t>Wrong product variant shipped to key account.</t>
  </si>
  <si>
    <t>Recalled shipment; replacement dispatched.</t>
  </si>
  <si>
    <t>Customer Care</t>
  </si>
  <si>
    <t>C. Eze</t>
  </si>
  <si>
    <t>2026-06-10</t>
  </si>
  <si>
    <t>CAPA-003</t>
  </si>
  <si>
    <t>NC-004</t>
  </si>
  <si>
    <t>2026-05-28</t>
  </si>
  <si>
    <t>Observation</t>
  </si>
  <si>
    <t>8.1</t>
  </si>
  <si>
    <t>Tank Farm</t>
  </si>
  <si>
    <t>Minor hydrocarbon sheen in containment bund.</t>
  </si>
  <si>
    <t>Spill kit deployed; bund cleaned.</t>
  </si>
  <si>
    <t>HSE Team</t>
  </si>
  <si>
    <t>R. Yusuf</t>
  </si>
  <si>
    <t>2026-06-20</t>
  </si>
  <si>
    <t>CAPA-004</t>
  </si>
  <si>
    <t>NC-005</t>
  </si>
  <si>
    <t>2026-06-01</t>
  </si>
  <si>
    <t>6.1.2</t>
  </si>
  <si>
    <t>Workshop</t>
  </si>
  <si>
    <t>Aspects register not updated after new solvent introduction.</t>
  </si>
  <si>
    <t>Aspect assessed and added.</t>
  </si>
  <si>
    <t>EMS Coord.</t>
  </si>
  <si>
    <t>K. Ibrahim</t>
  </si>
  <si>
    <t>2026-07-15</t>
  </si>
  <si>
    <t>CAPA-005</t>
  </si>
  <si>
    <t>ROOT CAUSE ANALYSIS — 5-Why &amp; Fishbone (6M)</t>
  </si>
  <si>
    <t>Complete per CAPA. Use 5-Why for systemic drill-down; Fishbone for category-based exploration.</t>
  </si>
  <si>
    <t>CAPA ID</t>
  </si>
  <si>
    <t>[e.g. CAPA-001]</t>
  </si>
  <si>
    <t>Problem Statement</t>
  </si>
  <si>
    <t>[Describe the observed problem with facts, location, magnitude]</t>
  </si>
  <si>
    <t>5-WHY ANALYSIS — Drill to System-Level Cause</t>
  </si>
  <si>
    <t>#</t>
  </si>
  <si>
    <t>Question</t>
  </si>
  <si>
    <t>Answer / Evidence</t>
  </si>
  <si>
    <t>Why 1</t>
  </si>
  <si>
    <t>Why did the problem occur?</t>
  </si>
  <si>
    <t>Why 2</t>
  </si>
  <si>
    <t>Why did that happen?</t>
  </si>
  <si>
    <t>Why 3</t>
  </si>
  <si>
    <t>Why 4</t>
  </si>
  <si>
    <t>Why 5</t>
  </si>
  <si>
    <t>Root system cause?</t>
  </si>
  <si>
    <t>ROOT CAUSE</t>
  </si>
  <si>
    <t>FISHBONE (ISHIKAWA) — 6M Categorical Analysis</t>
  </si>
  <si>
    <t>Category</t>
  </si>
  <si>
    <t>Probing Prompts</t>
  </si>
  <si>
    <t>Contributing Causes Identified</t>
  </si>
  <si>
    <t>Most Likely? (Y/N)</t>
  </si>
  <si>
    <t>Man (People)</t>
  </si>
  <si>
    <t>Skills, training, fatigue, communication, awareness</t>
  </si>
  <si>
    <t>Machine (Equipment)</t>
  </si>
  <si>
    <t>Reliability, calibration, maintenance, capability</t>
  </si>
  <si>
    <t>Method (Process)</t>
  </si>
  <si>
    <t>Procedures, instructions, controls, workflow</t>
  </si>
  <si>
    <t>Material</t>
  </si>
  <si>
    <t>Quality, specification, supplier, storage</t>
  </si>
  <si>
    <t>Measurement</t>
  </si>
  <si>
    <t>Calibration, criteria, inspection method, data integrity</t>
  </si>
  <si>
    <t>Mother Nature (Environment)</t>
  </si>
  <si>
    <t>Weather, layout, lighting, housekeeping, workplace conditions</t>
  </si>
  <si>
    <t>ROOT CAUSE CONFIRMATION &amp; TECHNIQUE</t>
  </si>
  <si>
    <t>Confirmed Root Cause</t>
  </si>
  <si>
    <t>Technique(s) Used</t>
  </si>
  <si>
    <t>Analysis Team</t>
  </si>
  <si>
    <t>CORRECTIVE &amp; PREVENTIVE ACTION REGISTER</t>
  </si>
  <si>
    <t>Every CAPA must address (a) immediate correction, (b) root cause elimination, (c) recurrence prevention, and (d) effectiveness verification.</t>
  </si>
  <si>
    <t>Linked NC ID</t>
  </si>
  <si>
    <t>Date Opened</t>
  </si>
  <si>
    <t>Action Type</t>
  </si>
  <si>
    <t>Root Cause Summary</t>
  </si>
  <si>
    <t>Corrective Action (Fix)</t>
  </si>
  <si>
    <t>Preventive Action (Prevent Recurrence)</t>
  </si>
  <si>
    <t>Action Owner</t>
  </si>
  <si>
    <t>Resources/Cost (₦)</t>
  </si>
  <si>
    <t>Target Date</t>
  </si>
  <si>
    <t>Actual Closure</t>
  </si>
  <si>
    <t>% Complete</t>
  </si>
  <si>
    <t>Verification Method</t>
  </si>
  <si>
    <t>Verified By</t>
  </si>
  <si>
    <t>Effective? (Y/N)</t>
  </si>
  <si>
    <t>2026-05-13</t>
  </si>
  <si>
    <t>Corrective + Preventive</t>
  </si>
  <si>
    <t>Calibration schedule not integrated with PM system; manual reminders missed.</t>
  </si>
  <si>
    <t>Recalibrate tool; verify last 30 assemblies for torque compliance.</t>
  </si>
  <si>
    <t>Integrate calibration register into CMMS with auto-alerts 30/14/7 days before due. Train tool custodians.</t>
  </si>
  <si>
    <t>Audit re-check + CMMS log review</t>
  </si>
  <si>
    <t>QA Manager</t>
  </si>
  <si>
    <t>2026-05-19</t>
  </si>
  <si>
    <t>Preventive</t>
  </si>
  <si>
    <t>Inadequate pedestrian/vehicle segregation at warehouse blind corner.</t>
  </si>
  <si>
    <t>Install convex mirror and audible reverse alarms.</t>
  </si>
  <si>
    <t>Redesign traffic management plan; add painted walkways, barriers, and proximity sensors. Refresher training for all forklift operators.</t>
  </si>
  <si>
    <t>Re-inspection + incident trend (90d)</t>
  </si>
  <si>
    <t>HSE Manager</t>
  </si>
  <si>
    <t>2026-05-23</t>
  </si>
  <si>
    <t>Dispatch picking relied on memory; no scan verification at pack-out.</t>
  </si>
  <si>
    <t>Replace shipment; issue customer apology.</t>
  </si>
  <si>
    <t>Implement barcode scan-to-pack with mandatory match before label print. Update dispatch SOP and retrain.</t>
  </si>
  <si>
    <t>Customer complaints trend + dispatch error rate</t>
  </si>
  <si>
    <t>Operations Director</t>
  </si>
  <si>
    <t>2026-05-29</t>
  </si>
  <si>
    <t>Corrective</t>
  </si>
  <si>
    <t>Drum decanting performed without secondary containment tray.</t>
  </si>
  <si>
    <t>Clean bund; review aspect register.</t>
  </si>
  <si>
    <t>Procure decant trays at all draw-off points; update SOP; spill drill quarterly.</t>
  </si>
  <si>
    <t>Site inspection + spill log</t>
  </si>
  <si>
    <t>HSE Coordinator</t>
  </si>
  <si>
    <t>2026-06-02</t>
  </si>
  <si>
    <t>No trigger to re-evaluate aspects when new chemicals introduced.</t>
  </si>
  <si>
    <t>Add solvent to aspect/impact register.</t>
  </si>
  <si>
    <t>Embed aspect re-evaluation step into Management-of-Change workflow; train MOC owners.</t>
  </si>
  <si>
    <t>MOC log audit</t>
  </si>
  <si>
    <t>EMS Coordinator</t>
  </si>
  <si>
    <t>CAPA EFFECTIVENESS VERIFICATION &amp; CLOSURE</t>
  </si>
  <si>
    <t>No CAPA is closed without documented evidence that the action eliminated the cause AND prevented recurrence.</t>
  </si>
  <si>
    <t>Verification Date</t>
  </si>
  <si>
    <t>Reviewer</t>
  </si>
  <si>
    <t>Method Applied</t>
  </si>
  <si>
    <t>Sample/Evidence</t>
  </si>
  <si>
    <t>Recurrence in Period? (Y/N)</t>
  </si>
  <si>
    <t>KPI Before</t>
  </si>
  <si>
    <t>KPI After</t>
  </si>
  <si>
    <t>Improvement %</t>
  </si>
  <si>
    <t>Effectiveness Rating</t>
  </si>
  <si>
    <t>Conclusion</t>
  </si>
  <si>
    <t>Closure Approved By</t>
  </si>
  <si>
    <t>Closure Date</t>
  </si>
  <si>
    <t>2026-08-15</t>
  </si>
  <si>
    <t>Internal Auditor</t>
  </si>
  <si>
    <t>CMMS log audit + 30-tool spot check</t>
  </si>
  <si>
    <t>100% calibration alerts triggered; 0 missed in 60d</t>
  </si>
  <si>
    <t>Effective</t>
  </si>
  <si>
    <t>Recurrence eliminated; integrate into CMMS standard</t>
  </si>
  <si>
    <t>2026-08-20</t>
  </si>
  <si>
    <t>2026-09-01</t>
  </si>
  <si>
    <t>Operations</t>
  </si>
  <si>
    <t>Dispatch error analytics dashboard</t>
  </si>
  <si>
    <t>Scan-to-pack live; 1,420 shipments without error</t>
  </si>
  <si>
    <t>Process change embedded</t>
  </si>
  <si>
    <t>Ops Director</t>
  </si>
  <si>
    <t>2026-09-05</t>
  </si>
  <si>
    <t>RECURRENCE TRACKER — Systemic Weakness Detection</t>
  </si>
  <si>
    <t>Repeat occurrences of the same failure mode indicate weak root-cause analysis or ineffective CAPA. Escalate any item with ≥3 occurrences.</t>
  </si>
  <si>
    <t>Failure Mode / Category</t>
  </si>
  <si>
    <t>Occurrences (12 mo)</t>
  </si>
  <si>
    <t>Last Occurrence</t>
  </si>
  <si>
    <t>Trend</t>
  </si>
  <si>
    <t>Systemic Risk</t>
  </si>
  <si>
    <t>Action</t>
  </si>
  <si>
    <t>Calibration / measurement drift</t>
  </si>
  <si>
    <t>7.1.5</t>
  </si>
  <si>
    <t>Increasing</t>
  </si>
  <si>
    <t>High</t>
  </si>
  <si>
    <t>Move to systemic CAPA; CMMS integration</t>
  </si>
  <si>
    <t>Pedestrian-vehicle near miss</t>
  </si>
  <si>
    <t>Stable</t>
  </si>
  <si>
    <t>Redesign traffic plan; barriers</t>
  </si>
  <si>
    <t>Dispatch wrong-variant</t>
  </si>
  <si>
    <t>Decreasing</t>
  </si>
  <si>
    <t>Medium</t>
  </si>
  <si>
    <t>Monitor post scan-to-pack rollout</t>
  </si>
  <si>
    <t>Minor hydrocarbon spill in bund</t>
  </si>
  <si>
    <t>8.2</t>
  </si>
  <si>
    <t>Decant trays site-wide; quarterly drill</t>
  </si>
  <si>
    <t>Aspect register not updated on MOC</t>
  </si>
  <si>
    <t>New</t>
  </si>
  <si>
    <t>Embed MOC trigger</t>
  </si>
  <si>
    <t>PPE compliance lapse</t>
  </si>
  <si>
    <t>2026-04-22</t>
  </si>
  <si>
    <t>Behavioural safety programme</t>
  </si>
  <si>
    <t>Document version control failure</t>
  </si>
  <si>
    <t>7.5.3</t>
  </si>
  <si>
    <t>2026-03-15</t>
  </si>
  <si>
    <t>Low</t>
  </si>
  <si>
    <t>Monitor</t>
  </si>
  <si>
    <t>PARETO — Vital Few Categories Driving 80% of Issues</t>
  </si>
  <si>
    <t>Cumulative %</t>
  </si>
  <si>
    <t>CAPA — ISO CLAUSE MAPPING (9001 / 14001 / 45001)</t>
  </si>
  <si>
    <t>Every NC/incident is anchored to a clause. Use to demonstrate coverage in audits and management review.</t>
  </si>
  <si>
    <t>Title</t>
  </si>
  <si>
    <t>Typical NC/Incident Triggers</t>
  </si>
  <si>
    <t>CAPA Linkage</t>
  </si>
  <si>
    <t>4.1</t>
  </si>
  <si>
    <t>Context of the organization</t>
  </si>
  <si>
    <t>✓</t>
  </si>
  <si>
    <t>Strategic shifts unaddressed; missed external/internal issue</t>
  </si>
  <si>
    <t>CAPA reviews update context</t>
  </si>
  <si>
    <t>4.2</t>
  </si>
  <si>
    <t>Needs of interested parties</t>
  </si>
  <si>
    <t>Stakeholder requirement missed</t>
  </si>
  <si>
    <t>Update register; communication CAPA</t>
  </si>
  <si>
    <t>5.1</t>
  </si>
  <si>
    <t>Leadership &amp; commitment</t>
  </si>
  <si>
    <t>Lack of visible leadership in incident response</t>
  </si>
  <si>
    <t>Leadership engagement plan</t>
  </si>
  <si>
    <t>6.1</t>
  </si>
  <si>
    <t>Risks &amp; opportunities / Aspects / Hazards</t>
  </si>
  <si>
    <t>Unidentified risk → incident</t>
  </si>
  <si>
    <t>Risk re-assessment CAPA</t>
  </si>
  <si>
    <t>Environmental aspects</t>
  </si>
  <si>
    <t>Aspect not evaluated on change</t>
  </si>
  <si>
    <t>MOC integration</t>
  </si>
  <si>
    <t>Hazard identification</t>
  </si>
  <si>
    <t>Hazard missed in JSA</t>
  </si>
  <si>
    <t>JSA refresh; training</t>
  </si>
  <si>
    <t>Monitoring &amp; measurement resources</t>
  </si>
  <si>
    <t>Calibration system CAPA</t>
  </si>
  <si>
    <t>7.2</t>
  </si>
  <si>
    <t>Competence</t>
  </si>
  <si>
    <t>Untrained personnel cause NC</t>
  </si>
  <si>
    <t>Competency CAPA</t>
  </si>
  <si>
    <t>7.5</t>
  </si>
  <si>
    <t>Documented information</t>
  </si>
  <si>
    <t>Wrong document version in use</t>
  </si>
  <si>
    <t>Document control CAPA</t>
  </si>
  <si>
    <t>Operational planning &amp; control</t>
  </si>
  <si>
    <t>Process executed outside controls</t>
  </si>
  <si>
    <t>Process control CAPA</t>
  </si>
  <si>
    <t>Emergency preparedness</t>
  </si>
  <si>
    <t>Spill / fire / evacuation gaps</t>
  </si>
  <si>
    <t>Drill &amp; response CAPA</t>
  </si>
  <si>
    <t>8.4</t>
  </si>
  <si>
    <t>External providers</t>
  </si>
  <si>
    <t>Supplier non-conformance</t>
  </si>
  <si>
    <t>Supplier CAPA</t>
  </si>
  <si>
    <t>Production / service provision</t>
  </si>
  <si>
    <t>Process deviation</t>
  </si>
  <si>
    <t>SOP &amp; control CAPA</t>
  </si>
  <si>
    <t>Nonconforming outputs</t>
  </si>
  <si>
    <t>Wrong product released</t>
  </si>
  <si>
    <t>Containment &amp; recurrence CAPA</t>
  </si>
  <si>
    <t>9.1</t>
  </si>
  <si>
    <t>Monitoring &amp; evaluation</t>
  </si>
  <si>
    <t>KPI miss / data integrity</t>
  </si>
  <si>
    <t>KPI review CAPA</t>
  </si>
  <si>
    <t>9.1.2</t>
  </si>
  <si>
    <t>Customer satisfaction</t>
  </si>
  <si>
    <t>Repeat complaint</t>
  </si>
  <si>
    <t>Customer experience CAPA</t>
  </si>
  <si>
    <t>Evaluation of compliance</t>
  </si>
  <si>
    <t>Regulatory breach</t>
  </si>
  <si>
    <t>Compliance CAPA</t>
  </si>
  <si>
    <t>9.2</t>
  </si>
  <si>
    <t>Internal audit</t>
  </si>
  <si>
    <t>Audit programme gap</t>
  </si>
  <si>
    <t>Programme revision</t>
  </si>
  <si>
    <t>9.3</t>
  </si>
  <si>
    <t>Management review</t>
  </si>
  <si>
    <t>Action not assigned/tracked</t>
  </si>
  <si>
    <t>MR action register</t>
  </si>
  <si>
    <t>10.1</t>
  </si>
  <si>
    <t>Improvement — general</t>
  </si>
  <si>
    <t>No improvement evidence</t>
  </si>
  <si>
    <t>Improvement portfolio</t>
  </si>
  <si>
    <t>10.2</t>
  </si>
  <si>
    <t>NC &amp; corrective action</t>
  </si>
  <si>
    <t>Recurring NCs / weak RCA</t>
  </si>
  <si>
    <t>CAPA process upgrade</t>
  </si>
  <si>
    <t>10.3</t>
  </si>
  <si>
    <t>Continual improvement</t>
  </si>
  <si>
    <t>Plateau in KPIs</t>
  </si>
  <si>
    <t>Strategic improvement CAPA</t>
  </si>
  <si>
    <t>COST OF POOR QUALITY (COPQ) — Financial Impact of NCs &amp; Incidents</t>
  </si>
  <si>
    <t>Quantify true cost: internal/external failure, appraisal (detection), and prevention investment.</t>
  </si>
  <si>
    <t>NC/CAPA ID</t>
  </si>
  <si>
    <t>Internal Failure (₦)</t>
  </si>
  <si>
    <t>External Failure (₦)</t>
  </si>
  <si>
    <t>Appraisal (₦)</t>
  </si>
  <si>
    <t>Prevention (₦)</t>
  </si>
  <si>
    <t>Total (₦)</t>
  </si>
  <si>
    <t>Internal failure</t>
  </si>
  <si>
    <t>Rework + production halt for tool recalibration</t>
  </si>
  <si>
    <t>Prevention</t>
  </si>
  <si>
    <t>Traffic management redesign and training</t>
  </si>
  <si>
    <t>External failure</t>
  </si>
  <si>
    <t>Recall, replacement shipment, customer credit</t>
  </si>
  <si>
    <t>Spill clean-up materials and labour</t>
  </si>
  <si>
    <t>MOC integration training and documentation</t>
  </si>
  <si>
    <t>TOTAL</t>
  </si>
  <si>
    <t>LESSONS LEARNED — Institutional Knowledge Capture</t>
  </si>
  <si>
    <t>Convert each closed CAPA into shared organizational learning.</t>
  </si>
  <si>
    <t>Date</t>
  </si>
  <si>
    <t>Theme</t>
  </si>
  <si>
    <t>What Happened</t>
  </si>
  <si>
    <t>What We Learned</t>
  </si>
  <si>
    <t>Knowledge Transfer Action</t>
  </si>
  <si>
    <t>Audience</t>
  </si>
  <si>
    <t>Asset reliability</t>
  </si>
  <si>
    <t>Calibration drift caused product release with out-of-spec torque.</t>
  </si>
  <si>
    <t>Manual calibration tracking fails at scale; integrate with CMMS and trigger alerts.</t>
  </si>
  <si>
    <t>Add to onboarding for all QA &amp; maintenance staff; case study briefing.</t>
  </si>
  <si>
    <t>QA, Maintenance, Production</t>
  </si>
  <si>
    <t>Published</t>
  </si>
  <si>
    <t>Process control</t>
  </si>
  <si>
    <t>Memory-based dispatch led to wrong-variant shipment to top customer.</t>
  </si>
  <si>
    <t>Engineer mistakes out via mandatory scan-verification before label print.</t>
  </si>
  <si>
    <t>Toolbox brief; updated SOP cascade; cross-site rollout.</t>
  </si>
  <si>
    <t>Logistics, Customer Care</t>
  </si>
  <si>
    <t>CAPA PROCEDURE — REFERENCE GUIDE</t>
  </si>
  <si>
    <t>Process flow, definitions, RACI and escalation matrix</t>
  </si>
  <si>
    <t>Process Flow (10 Steps)</t>
  </si>
  <si>
    <t>Step 1 — Detect &amp; Report</t>
  </si>
  <si>
    <t>Anyone identifies an NC, incident, near miss, complaint, or audit finding and raises it in the NC Log within 24 hours.</t>
  </si>
  <si>
    <t>Step 2 — Contain</t>
  </si>
  <si>
    <t>Immediate correction to protect customer, environment, and people. Document containment in NC Log column 'Immediate Containment'.</t>
  </si>
  <si>
    <t>Step 3 — Classify &amp; Assess Risk</t>
  </si>
  <si>
    <t>Classify severity &amp; likelihood; calculate risk score (S×L). Major NC = formal CAPA mandatory.</t>
  </si>
  <si>
    <t>Step 4 — Investigate (RCA)</t>
  </si>
  <si>
    <t>Use 5-Why for systemic causes; Fishbone (6M) for categorical exploration; Pareto for trend significance. Confirm root cause with evidence.</t>
  </si>
  <si>
    <t>Step 5 — Plan CAPA</t>
  </si>
  <si>
    <t>Define corrective (fix) + preventive (eliminate recurrence) actions, owner, target date, resources, and verification method.</t>
  </si>
  <si>
    <t>Step 6 — Implement</t>
  </si>
  <si>
    <t>Execute actions; track % complete and status; update CAPA Register weekly.</t>
  </si>
  <si>
    <t>Step 7 — Verify Effectiveness</t>
  </si>
  <si>
    <t>Wait one full cycle (typically 60–90 days); verify with audit, KPI review, sample re-inspection. Record on Effectiveness Review sheet.</t>
  </si>
  <si>
    <t>Step 8 — Close</t>
  </si>
  <si>
    <t>Closure approved by Management Representative only if 'Effective'. Otherwise re-open and escalate.</t>
  </si>
  <si>
    <t>Step 9 — Learn &amp; Share</t>
  </si>
  <si>
    <t>Convert outcomes into Lessons Learned; update procedures, training, and risk register.</t>
  </si>
  <si>
    <t>Step 10 — Review</t>
  </si>
  <si>
    <t>Report CAPA KPIs at Management Review (clause 9.3); track recurrence and COPQ trends.</t>
  </si>
  <si>
    <t>Key Definitions</t>
  </si>
  <si>
    <t>Correction</t>
  </si>
  <si>
    <t>Action to eliminate a detected nonconformity (the symptom).</t>
  </si>
  <si>
    <t>Corrective Action</t>
  </si>
  <si>
    <t>Action to eliminate the CAUSE of a nonconformity to prevent recurrence.</t>
  </si>
  <si>
    <t>Preventive Action</t>
  </si>
  <si>
    <t>Action to eliminate the cause of a POTENTIAL nonconformity (risk-based thinking).</t>
  </si>
  <si>
    <t>Nonconformity (NC)</t>
  </si>
  <si>
    <t>Non-fulfilment of a requirement.</t>
  </si>
  <si>
    <t>Occurrence arising from work that could/did result in injury, ill health or environmental harm.</t>
  </si>
  <si>
    <t>Incident with no injury, harm or loss — but with potential.</t>
  </si>
  <si>
    <t>Root Cause</t>
  </si>
  <si>
    <t>Initiating cause of a causal chain that, if removed, prevents recurrence.</t>
  </si>
  <si>
    <t>Effectiveness</t>
  </si>
  <si>
    <t>Extent to which planned activities are realized and planned results achieved.</t>
  </si>
  <si>
    <t>RACI (typical)</t>
  </si>
  <si>
    <t>Originator</t>
  </si>
  <si>
    <t>Reports NC/incident, supports investigation</t>
  </si>
  <si>
    <t>Responsible (R) — executes CAPA</t>
  </si>
  <si>
    <t>Process Owner</t>
  </si>
  <si>
    <t>Accountable (A) — owns the outcome</t>
  </si>
  <si>
    <t>Management Rep / QHSE Manager</t>
  </si>
  <si>
    <t>Consulted (C) — approves closure</t>
  </si>
  <si>
    <t>Top Management</t>
  </si>
  <si>
    <t>Informed (I) — reviews KPIs at Management Review</t>
  </si>
  <si>
    <t>Escalation Matrix</t>
  </si>
  <si>
    <t>Risk Score 1–6 (Low)</t>
  </si>
  <si>
    <t>Action Owner closes within 30 days</t>
  </si>
  <si>
    <t>Risk Score 8–12 (Medium)</t>
  </si>
  <si>
    <t>Process Owner reviews weekly; close within 60 days</t>
  </si>
  <si>
    <t>Risk Score 15–20 (High)</t>
  </si>
  <si>
    <t>Management Rep reviews; close within 30 days; report at next MR</t>
  </si>
  <si>
    <t>Risk Score 25 (Critical) / Major NC / Recurring</t>
  </si>
  <si>
    <t>Escalate to Top Management within 24 hours; formal investigation; root cause review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</si>
</sst>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22"/>
      <color rgb="FF16243A"/>
      <name val="Calibri"/>
    </font>
    <font>
      <i/>
      <sz val="12"/>
      <color rgb="FF5A6577"/>
      <name val="Calibri"/>
    </font>
    <font>
      <b/>
      <sz val="12"/>
      <color rgb="FFFFFFFF"/>
      <name val="Calibri"/>
    </font>
    <font>
      <b/>
      <sz val="11"/>
      <color rgb="FF16243A"/>
      <name val="Calibri"/>
    </font>
    <font>
      <i/>
      <sz val="9"/>
      <color rgb="FF5A6577"/>
      <name val="Calibri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color rgb="FFC4671A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24"/>
      <color rgb="FF16243A"/>
      <name val="Calibri"/>
    </font>
    <font>
      <b/>
      <sz val="20"/>
      <color rgb="FF16243A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6243A"/>
      </patternFill>
    </fill>
    <fill>
      <patternFill patternType="solid">
        <fgColor rgb="FFF2EFEA"/>
      </patternFill>
    </fill>
    <fill>
      <patternFill patternType="solid">
        <fgColor rgb="FFEAEEF3"/>
      </patternFill>
    </fill>
    <fill>
      <patternFill patternType="solid">
        <fgColor rgb="FFC4671A"/>
      </patternFill>
    </fill>
    <fill>
      <patternFill patternType="solid">
        <fgColor rgb="FF2F5D8A"/>
      </patternFill>
    </fill>
    <fill>
      <patternFill patternType="solid">
        <fgColor rgb="FFB0413E"/>
      </patternFill>
    </fill>
    <fill>
      <patternFill patternType="solid">
        <fgColor rgb="FF2E7D5B"/>
      </patternFill>
    </fill>
  </fills>
  <borders count="2">
    <border>
      <left/>
      <right/>
      <top/>
      <bottom/>
      <diagonal/>
    </border>
    <border>
      <left style="thin">
        <color rgb="FFB8C0CC"/>
      </left>
      <right style="thin">
        <color rgb="FFB8C0CC"/>
      </right>
      <top style="thin">
        <color rgb="FFB8C0CC"/>
      </top>
      <bottom style="thin">
        <color rgb="FFB8C0CC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4" fillId="3" borderId="1" xfId="0" applyFont="1" applyFill="1" applyBorder="1"/>
    <xf numFmtId="0" fontId="4" fillId="4" borderId="1" xfId="0" applyFont="1" applyFill="1" applyBorder="1"/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inden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vertical="top" wrapText="1" indent="1"/>
    </xf>
    <xf numFmtId="0" fontId="9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 indent="1"/>
    </xf>
    <xf numFmtId="0" fontId="4" fillId="3" borderId="1" xfId="0" applyFont="1" applyFill="1" applyBorder="1" applyAlignment="1">
      <alignment vertical="center" indent="1"/>
    </xf>
    <xf numFmtId="164" fontId="0" fillId="0" borderId="1" xfId="0" applyNumberFormat="1" applyBorder="1" applyAlignment="1">
      <alignment horizontal="center"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center" wrapText="1" indent="1"/>
    </xf>
    <xf numFmtId="0" fontId="9" fillId="8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/>
    <xf numFmtId="3" fontId="9" fillId="2" borderId="1" xfId="0" applyNumberFormat="1" applyFont="1" applyFill="1" applyBorder="1"/>
    <xf numFmtId="0" fontId="4" fillId="3" borderId="1" xfId="0" applyFont="1" applyFill="1" applyBorder="1" applyAlignment="1">
      <alignment vertical="top" wrapText="1" indent="1"/>
    </xf>
    <xf numFmtId="0" fontId="0" fillId="0" borderId="1" xfId="0" applyBorder="1" applyAlignment="1">
      <alignment vertical="center" indent="1"/>
    </xf>
    <xf numFmtId="0" fontId="0" fillId="0" borderId="0" xfId="0"/>
    <xf numFmtId="0" fontId="5" fillId="0" borderId="0" xfId="0" applyFont="1" applyAlignment="1">
      <alignment horizontal="center"/>
    </xf>
    <xf numFmtId="0" fontId="3" fillId="2" borderId="0" xfId="0" applyFont="1" applyFill="1" applyAlignment="1">
      <alignment vertical="center" inden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2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left" vertical="center" indent="1"/>
    </xf>
    <xf numFmtId="0" fontId="10" fillId="2" borderId="1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left" vertical="center" indent="1"/>
    </xf>
    <xf numFmtId="3" fontId="12" fillId="3" borderId="1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indent="1"/>
    </xf>
    <xf numFmtId="0" fontId="0" fillId="0" borderId="1" xfId="0" applyBorder="1" applyAlignment="1">
      <alignment vertical="top" wrapText="1" inden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vertical="top" wrapText="1" indent="1"/>
    </xf>
    <xf numFmtId="0" fontId="0" fillId="0" borderId="1" xfId="0" applyBorder="1" applyAlignment="1">
      <alignment vertical="center" wrapText="1" indent="1"/>
    </xf>
    <xf numFmtId="0" fontId="0" fillId="0" borderId="1" xfId="0" applyBorder="1" applyAlignment="1">
      <alignment vertical="top" wrapText="1"/>
    </xf>
    <xf numFmtId="0" fontId="7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7">
    <dxf>
      <font>
        <b/>
        <color rgb="FFFFFFFF"/>
      </font>
      <fill>
        <patternFill patternType="solid">
          <fgColor rgb="FF2E7D5B"/>
        </patternFill>
      </fill>
    </dxf>
    <dxf>
      <font>
        <b/>
        <color rgb="FFFFFFFF"/>
      </font>
      <fill>
        <patternFill patternType="solid">
          <fgColor rgb="FFE0A23A"/>
        </patternFill>
      </fill>
    </dxf>
    <dxf>
      <font>
        <b/>
        <color rgb="FFFFFFFF"/>
      </font>
      <fill>
        <patternFill patternType="solid">
          <fgColor rgb="FFB0413E"/>
        </patternFill>
      </fill>
    </dxf>
    <dxf>
      <font>
        <b/>
        <color rgb="FFFFFFFF"/>
      </font>
      <fill>
        <patternFill patternType="solid">
          <fgColor rgb="FF2E7D5B"/>
        </patternFill>
      </fill>
    </dxf>
    <dxf>
      <font>
        <b/>
        <color rgb="FFFFFFFF"/>
      </font>
      <fill>
        <patternFill patternType="solid">
          <fgColor rgb="FFB0413E"/>
        </patternFill>
      </fill>
    </dxf>
    <dxf>
      <font>
        <b/>
        <color rgb="FFFFFFFF"/>
      </font>
      <fill>
        <patternFill patternType="solid">
          <fgColor rgb="FF2E7D5B"/>
        </patternFill>
      </fill>
    </dxf>
    <dxf>
      <font>
        <b/>
        <color rgb="FFFFFFFF"/>
      </font>
      <fill>
        <patternFill patternType="solid">
          <fgColor rgb="FFB0413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CAPA Status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Dashboard!$C$14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Dashboard!$B$15:$B$20</c:f>
              <c:strCache>
                <c:ptCount val="6"/>
                <c:pt idx="0">
                  <c:v>Open</c:v>
                </c:pt>
                <c:pt idx="1">
                  <c:v>In Progress</c:v>
                </c:pt>
                <c:pt idx="2">
                  <c:v>Pending Verification</c:v>
                </c:pt>
                <c:pt idx="3">
                  <c:v>Closed</c:v>
                </c:pt>
                <c:pt idx="4">
                  <c:v>Overdue</c:v>
                </c:pt>
                <c:pt idx="5">
                  <c:v>Cancelled</c:v>
                </c:pt>
              </c:strCache>
            </c:strRef>
          </c:cat>
          <c:val>
            <c:numRef>
              <c:f>Dashboard!$C$15:$C$20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8F-4CA1-85D7-F6A6A2DC2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Source of NCs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Dashboard!$F$14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Dashboard!$E$15:$E$20</c:f>
              <c:strCache>
                <c:ptCount val="6"/>
                <c:pt idx="0">
                  <c:v>Internal Audit</c:v>
                </c:pt>
                <c:pt idx="1">
                  <c:v>External Audit</c:v>
                </c:pt>
                <c:pt idx="2">
                  <c:v>Incident</c:v>
                </c:pt>
                <c:pt idx="3">
                  <c:v>Near Miss</c:v>
                </c:pt>
                <c:pt idx="4">
                  <c:v>Customer Complaint</c:v>
                </c:pt>
                <c:pt idx="5">
                  <c:v>Inspection</c:v>
                </c:pt>
              </c:strCache>
            </c:strRef>
          </c:cat>
          <c:val>
            <c:numRef>
              <c:f>Dashboard!$F$15:$F$20</c:f>
              <c:numCache>
                <c:formatCode>General</c:formatCode>
                <c:ptCount val="6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82-4DD3-9FCA-922CA2035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21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21</xdr:row>
      <xdr:rowOff>0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8"/>
  <sheetViews>
    <sheetView showGridLines="0" topLeftCell="A8" workbookViewId="0"/>
  </sheetViews>
  <sheetFormatPr defaultRowHeight="14.5" x14ac:dyDescent="0.35"/>
  <cols>
    <col min="1" max="1" width="4" customWidth="1"/>
    <col min="2" max="7" width="22" customWidth="1"/>
    <col min="8" max="8" width="4" customWidth="1"/>
  </cols>
  <sheetData>
    <row r="2" spans="2:7" x14ac:dyDescent="0.35">
      <c r="B2" s="31" t="s">
        <v>0</v>
      </c>
      <c r="C2" s="28"/>
      <c r="D2" s="28"/>
      <c r="E2" s="28"/>
      <c r="F2" s="28"/>
      <c r="G2" s="28"/>
    </row>
    <row r="3" spans="2:7" x14ac:dyDescent="0.35">
      <c r="B3" s="28"/>
      <c r="C3" s="28"/>
      <c r="D3" s="28"/>
      <c r="E3" s="28"/>
      <c r="F3" s="28"/>
      <c r="G3" s="28"/>
    </row>
    <row r="4" spans="2:7" ht="15.5" x14ac:dyDescent="0.35">
      <c r="B4" s="32" t="s">
        <v>1</v>
      </c>
      <c r="C4" s="28"/>
      <c r="D4" s="28"/>
      <c r="E4" s="28"/>
      <c r="F4" s="28"/>
      <c r="G4" s="28"/>
    </row>
    <row r="6" spans="2:7" ht="22" customHeight="1" x14ac:dyDescent="0.35">
      <c r="B6" s="30" t="s">
        <v>2</v>
      </c>
      <c r="C6" s="28"/>
      <c r="D6" s="28"/>
      <c r="E6" s="28"/>
      <c r="F6" s="28"/>
      <c r="G6" s="28"/>
    </row>
    <row r="7" spans="2:7" ht="20" customHeight="1" x14ac:dyDescent="0.35">
      <c r="B7" s="1" t="s">
        <v>3</v>
      </c>
      <c r="C7" s="27" t="s">
        <v>4</v>
      </c>
      <c r="D7" s="28"/>
      <c r="E7" s="28"/>
      <c r="F7" s="28"/>
      <c r="G7" s="28"/>
    </row>
    <row r="8" spans="2:7" ht="20" customHeight="1" x14ac:dyDescent="0.35">
      <c r="B8" s="1" t="s">
        <v>5</v>
      </c>
      <c r="C8" s="27" t="s">
        <v>6</v>
      </c>
      <c r="D8" s="28"/>
      <c r="E8" s="28"/>
      <c r="F8" s="28"/>
      <c r="G8" s="28"/>
    </row>
    <row r="9" spans="2:7" ht="20" customHeight="1" x14ac:dyDescent="0.35">
      <c r="B9" s="1" t="s">
        <v>7</v>
      </c>
      <c r="C9" s="27" t="s">
        <v>8</v>
      </c>
      <c r="D9" s="28"/>
      <c r="E9" s="28"/>
      <c r="F9" s="28"/>
      <c r="G9" s="28"/>
    </row>
    <row r="10" spans="2:7" ht="20" customHeight="1" x14ac:dyDescent="0.35">
      <c r="B10" s="1" t="s">
        <v>9</v>
      </c>
      <c r="C10" s="27" t="s">
        <v>10</v>
      </c>
      <c r="D10" s="28"/>
      <c r="E10" s="28"/>
      <c r="F10" s="28"/>
      <c r="G10" s="28"/>
    </row>
    <row r="11" spans="2:7" ht="20" customHeight="1" x14ac:dyDescent="0.35">
      <c r="B11" s="1" t="s">
        <v>11</v>
      </c>
      <c r="C11" s="27" t="s">
        <v>12</v>
      </c>
      <c r="D11" s="28"/>
      <c r="E11" s="28"/>
      <c r="F11" s="28"/>
      <c r="G11" s="28"/>
    </row>
    <row r="12" spans="2:7" ht="20" customHeight="1" x14ac:dyDescent="0.35">
      <c r="B12" s="1" t="s">
        <v>13</v>
      </c>
      <c r="C12" s="27" t="s">
        <v>14</v>
      </c>
      <c r="D12" s="28"/>
      <c r="E12" s="28"/>
      <c r="F12" s="28"/>
      <c r="G12" s="28"/>
    </row>
    <row r="13" spans="2:7" ht="20" customHeight="1" x14ac:dyDescent="0.35">
      <c r="B13" s="1" t="s">
        <v>15</v>
      </c>
      <c r="C13" s="27" t="s">
        <v>16</v>
      </c>
      <c r="D13" s="28"/>
      <c r="E13" s="28"/>
      <c r="F13" s="28"/>
      <c r="G13" s="28"/>
    </row>
    <row r="16" spans="2:7" ht="22" customHeight="1" x14ac:dyDescent="0.35">
      <c r="B16" s="30" t="s">
        <v>17</v>
      </c>
      <c r="C16" s="28"/>
      <c r="D16" s="28"/>
      <c r="E16" s="28"/>
      <c r="F16" s="28"/>
      <c r="G16" s="28"/>
    </row>
    <row r="17" spans="2:7" x14ac:dyDescent="0.35">
      <c r="B17" s="2" t="s">
        <v>18</v>
      </c>
      <c r="C17" s="27" t="s">
        <v>19</v>
      </c>
      <c r="D17" s="28"/>
      <c r="E17" s="28"/>
      <c r="F17" s="28"/>
      <c r="G17" s="28"/>
    </row>
    <row r="18" spans="2:7" x14ac:dyDescent="0.35">
      <c r="B18" s="2" t="s">
        <v>20</v>
      </c>
      <c r="C18" s="27" t="s">
        <v>21</v>
      </c>
      <c r="D18" s="28"/>
      <c r="E18" s="28"/>
      <c r="F18" s="28"/>
      <c r="G18" s="28"/>
    </row>
    <row r="19" spans="2:7" x14ac:dyDescent="0.35">
      <c r="B19" s="2" t="s">
        <v>22</v>
      </c>
      <c r="C19" s="27" t="s">
        <v>23</v>
      </c>
      <c r="D19" s="28"/>
      <c r="E19" s="28"/>
      <c r="F19" s="28"/>
      <c r="G19" s="28"/>
    </row>
    <row r="20" spans="2:7" x14ac:dyDescent="0.35">
      <c r="B20" s="2" t="s">
        <v>24</v>
      </c>
      <c r="C20" s="27" t="s">
        <v>25</v>
      </c>
      <c r="D20" s="28"/>
      <c r="E20" s="28"/>
      <c r="F20" s="28"/>
      <c r="G20" s="28"/>
    </row>
    <row r="21" spans="2:7" x14ac:dyDescent="0.35">
      <c r="B21" s="2" t="s">
        <v>26</v>
      </c>
      <c r="C21" s="27" t="s">
        <v>27</v>
      </c>
      <c r="D21" s="28"/>
      <c r="E21" s="28"/>
      <c r="F21" s="28"/>
      <c r="G21" s="28"/>
    </row>
    <row r="22" spans="2:7" x14ac:dyDescent="0.35">
      <c r="B22" s="2" t="s">
        <v>28</v>
      </c>
      <c r="C22" s="27" t="s">
        <v>29</v>
      </c>
      <c r="D22" s="28"/>
      <c r="E22" s="28"/>
      <c r="F22" s="28"/>
      <c r="G22" s="28"/>
    </row>
    <row r="23" spans="2:7" x14ac:dyDescent="0.35">
      <c r="B23" s="2" t="s">
        <v>30</v>
      </c>
      <c r="C23" s="27" t="s">
        <v>31</v>
      </c>
      <c r="D23" s="28"/>
      <c r="E23" s="28"/>
      <c r="F23" s="28"/>
      <c r="G23" s="28"/>
    </row>
    <row r="24" spans="2:7" x14ac:dyDescent="0.35">
      <c r="B24" s="2" t="s">
        <v>32</v>
      </c>
      <c r="C24" s="27" t="s">
        <v>33</v>
      </c>
      <c r="D24" s="28"/>
      <c r="E24" s="28"/>
      <c r="F24" s="28"/>
      <c r="G24" s="28"/>
    </row>
    <row r="25" spans="2:7" x14ac:dyDescent="0.35">
      <c r="B25" s="2" t="s">
        <v>34</v>
      </c>
      <c r="C25" s="27" t="s">
        <v>35</v>
      </c>
      <c r="D25" s="28"/>
      <c r="E25" s="28"/>
      <c r="F25" s="28"/>
      <c r="G25" s="28"/>
    </row>
    <row r="26" spans="2:7" x14ac:dyDescent="0.35">
      <c r="B26" s="2" t="s">
        <v>36</v>
      </c>
      <c r="C26" s="27" t="s">
        <v>37</v>
      </c>
      <c r="D26" s="28"/>
      <c r="E26" s="28"/>
      <c r="F26" s="28"/>
      <c r="G26" s="28"/>
    </row>
    <row r="28" spans="2:7" x14ac:dyDescent="0.35">
      <c r="B28" s="29" t="s">
        <v>38</v>
      </c>
      <c r="C28" s="28"/>
      <c r="D28" s="28"/>
      <c r="E28" s="28"/>
      <c r="F28" s="28"/>
      <c r="G28" s="28"/>
    </row>
  </sheetData>
  <mergeCells count="22">
    <mergeCell ref="C9:G9"/>
    <mergeCell ref="B6:G6"/>
    <mergeCell ref="C21:G21"/>
    <mergeCell ref="B2:G3"/>
    <mergeCell ref="C12:G12"/>
    <mergeCell ref="C11:G11"/>
    <mergeCell ref="B4:G4"/>
    <mergeCell ref="C8:G8"/>
    <mergeCell ref="C17:G17"/>
    <mergeCell ref="B16:G16"/>
    <mergeCell ref="C7:G7"/>
    <mergeCell ref="C19:G19"/>
    <mergeCell ref="C13:G13"/>
    <mergeCell ref="C18:G18"/>
    <mergeCell ref="C24:G24"/>
    <mergeCell ref="C26:G26"/>
    <mergeCell ref="C20:G20"/>
    <mergeCell ref="B28:G28"/>
    <mergeCell ref="C10:G10"/>
    <mergeCell ref="C25:G25"/>
    <mergeCell ref="C22:G22"/>
    <mergeCell ref="C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showGridLines="0" topLeftCell="A15" workbookViewId="0">
      <selection sqref="A1:I1"/>
    </sheetView>
  </sheetViews>
  <sheetFormatPr defaultRowHeight="14.5" x14ac:dyDescent="0.35"/>
  <cols>
    <col min="1" max="1" width="3" customWidth="1"/>
    <col min="2" max="9" width="18" customWidth="1"/>
    <col min="10" max="10" width="3" customWidth="1"/>
  </cols>
  <sheetData>
    <row r="1" spans="1:9" ht="30" customHeight="1" x14ac:dyDescent="0.35">
      <c r="A1" s="40" t="s">
        <v>39</v>
      </c>
      <c r="B1" s="28"/>
      <c r="C1" s="28"/>
      <c r="D1" s="28"/>
      <c r="E1" s="28"/>
      <c r="F1" s="28"/>
      <c r="G1" s="28"/>
      <c r="H1" s="28"/>
      <c r="I1" s="28"/>
    </row>
    <row r="2" spans="1:9" ht="22" customHeight="1" x14ac:dyDescent="0.35">
      <c r="A2" s="36" t="s">
        <v>40</v>
      </c>
      <c r="B2" s="28"/>
      <c r="C2" s="28"/>
      <c r="D2" s="28"/>
      <c r="E2" s="28"/>
      <c r="F2" s="28"/>
      <c r="G2" s="28"/>
      <c r="H2" s="28"/>
      <c r="I2" s="28"/>
    </row>
    <row r="4" spans="1:9" ht="8" customHeight="1" x14ac:dyDescent="0.35"/>
    <row r="5" spans="1:9" ht="22" customHeight="1" x14ac:dyDescent="0.35">
      <c r="B5" s="37" t="s">
        <v>41</v>
      </c>
      <c r="C5" s="28"/>
      <c r="D5" s="37" t="s">
        <v>42</v>
      </c>
      <c r="E5" s="28"/>
      <c r="F5" s="37" t="s">
        <v>43</v>
      </c>
      <c r="G5" s="28"/>
      <c r="H5" s="37" t="s">
        <v>44</v>
      </c>
      <c r="I5" s="28"/>
    </row>
    <row r="6" spans="1:9" ht="24" customHeight="1" x14ac:dyDescent="0.35">
      <c r="B6" s="34">
        <f>COUNTA('NC &amp; Incident Log'!A4:A60)</f>
        <v>5</v>
      </c>
      <c r="C6" s="28"/>
      <c r="D6" s="34">
        <f>COUNTIF('CAPA Register'!O4:O50,"Open")+COUNTIF('CAPA Register'!O4:O50,"In Progress")</f>
        <v>4</v>
      </c>
      <c r="E6" s="28"/>
      <c r="F6" s="34">
        <f>COUNTIF('CAPA Register'!O4:O50,"Overdue")</f>
        <v>0</v>
      </c>
      <c r="G6" s="28"/>
      <c r="H6" s="34">
        <f>COUNTIF('CAPA Register'!O4:O50,"Closed")</f>
        <v>0</v>
      </c>
      <c r="I6" s="28"/>
    </row>
    <row r="7" spans="1:9" ht="24" customHeight="1" x14ac:dyDescent="0.35">
      <c r="B7" s="28"/>
      <c r="C7" s="28"/>
      <c r="D7" s="28"/>
      <c r="E7" s="28"/>
      <c r="F7" s="28"/>
      <c r="G7" s="28"/>
      <c r="H7" s="28"/>
      <c r="I7" s="28"/>
    </row>
    <row r="9" spans="1:9" ht="22" customHeight="1" x14ac:dyDescent="0.35">
      <c r="B9" s="35" t="s">
        <v>45</v>
      </c>
      <c r="C9" s="28"/>
      <c r="D9" s="35" t="s">
        <v>46</v>
      </c>
      <c r="E9" s="28"/>
      <c r="F9" s="35" t="s">
        <v>47</v>
      </c>
      <c r="G9" s="28"/>
      <c r="H9" s="35" t="s">
        <v>48</v>
      </c>
      <c r="I9" s="28"/>
    </row>
    <row r="10" spans="1:9" ht="24" customHeight="1" x14ac:dyDescent="0.35">
      <c r="B10" s="33">
        <f>COUNTIF('Effectiveness Review'!J4:J40,"Effective")</f>
        <v>2</v>
      </c>
      <c r="C10" s="28"/>
      <c r="D10" s="33">
        <f>COUNTIF('NC &amp; Incident Log'!R4:R60,"Yes")</f>
        <v>1</v>
      </c>
      <c r="E10" s="28"/>
      <c r="F10" s="33">
        <f>COUNTIF('NC &amp; Incident Log'!L4:L60,"&gt;=15")</f>
        <v>1</v>
      </c>
      <c r="G10" s="28"/>
      <c r="H10" s="39">
        <f>IFERROR('Cost of Poor Quality'!H31,0)</f>
        <v>7340000</v>
      </c>
      <c r="I10" s="28"/>
    </row>
    <row r="11" spans="1:9" ht="24" customHeight="1" x14ac:dyDescent="0.35">
      <c r="B11" s="28"/>
      <c r="C11" s="28"/>
      <c r="D11" s="28"/>
      <c r="E11" s="28"/>
      <c r="F11" s="28"/>
      <c r="G11" s="28"/>
      <c r="H11" s="28"/>
      <c r="I11" s="28"/>
    </row>
    <row r="13" spans="1:9" ht="22" customHeight="1" x14ac:dyDescent="0.35">
      <c r="A13" s="38" t="s">
        <v>49</v>
      </c>
      <c r="B13" s="28"/>
      <c r="C13" s="28"/>
      <c r="D13" s="28"/>
      <c r="E13" s="28"/>
      <c r="F13" s="28"/>
      <c r="G13" s="28"/>
      <c r="H13" s="28"/>
      <c r="I13" s="28"/>
    </row>
    <row r="14" spans="1:9" x14ac:dyDescent="0.35">
      <c r="B14" s="3" t="s">
        <v>50</v>
      </c>
      <c r="C14" s="3" t="s">
        <v>51</v>
      </c>
      <c r="E14" s="3" t="s">
        <v>52</v>
      </c>
      <c r="F14" s="3" t="s">
        <v>51</v>
      </c>
      <c r="H14" s="3" t="s">
        <v>53</v>
      </c>
      <c r="I14" s="3" t="s">
        <v>51</v>
      </c>
    </row>
    <row r="15" spans="1:9" x14ac:dyDescent="0.35">
      <c r="B15" s="4" t="s">
        <v>54</v>
      </c>
      <c r="C15" s="5">
        <f>COUNTIF('CAPA Register'!O4:O50,"Open")</f>
        <v>2</v>
      </c>
      <c r="E15" s="4" t="s">
        <v>55</v>
      </c>
      <c r="F15" s="5">
        <f>COUNTIF('NC &amp; Incident Log'!C4:C60,"Internal Audit")</f>
        <v>2</v>
      </c>
      <c r="H15" s="4" t="s">
        <v>56</v>
      </c>
      <c r="I15" s="5">
        <f>COUNTIF('NC &amp; Incident Log'!E4:E60,"ISO 9001")</f>
        <v>2</v>
      </c>
    </row>
    <row r="16" spans="1:9" x14ac:dyDescent="0.35">
      <c r="B16" s="4" t="s">
        <v>57</v>
      </c>
      <c r="C16" s="5">
        <f>COUNTIF('CAPA Register'!O4:O50,"In Progress")</f>
        <v>2</v>
      </c>
      <c r="E16" s="4" t="s">
        <v>58</v>
      </c>
      <c r="F16" s="5">
        <f>COUNTIF('NC &amp; Incident Log'!C4:C60,"External Audit")</f>
        <v>0</v>
      </c>
      <c r="H16" s="4" t="s">
        <v>59</v>
      </c>
      <c r="I16" s="5">
        <f>COUNTIF('NC &amp; Incident Log'!E4:E60,"ISO 14001")</f>
        <v>2</v>
      </c>
    </row>
    <row r="17" spans="2:9" x14ac:dyDescent="0.35">
      <c r="B17" s="4" t="s">
        <v>60</v>
      </c>
      <c r="C17" s="5">
        <f>COUNTIF('CAPA Register'!O4:O50,"Pending Verification")</f>
        <v>1</v>
      </c>
      <c r="E17" s="4" t="s">
        <v>61</v>
      </c>
      <c r="F17" s="5">
        <f>COUNTIF('NC &amp; Incident Log'!C4:C60,"Incident")</f>
        <v>1</v>
      </c>
      <c r="H17" s="4" t="s">
        <v>62</v>
      </c>
      <c r="I17" s="5">
        <f>COUNTIF('NC &amp; Incident Log'!E4:E60,"ISO 45001")</f>
        <v>1</v>
      </c>
    </row>
    <row r="18" spans="2:9" x14ac:dyDescent="0.35">
      <c r="B18" s="4" t="s">
        <v>44</v>
      </c>
      <c r="C18" s="5">
        <f>COUNTIF('CAPA Register'!O4:O50,"Closed")</f>
        <v>0</v>
      </c>
      <c r="E18" s="4" t="s">
        <v>63</v>
      </c>
      <c r="F18" s="5">
        <f>COUNTIF('NC &amp; Incident Log'!C4:C60,"Near Miss")</f>
        <v>0</v>
      </c>
      <c r="H18" s="4" t="s">
        <v>64</v>
      </c>
      <c r="I18" s="5">
        <f>COUNTIF('NC &amp; Incident Log'!E4:E60,"Integrated")</f>
        <v>0</v>
      </c>
    </row>
    <row r="19" spans="2:9" x14ac:dyDescent="0.35">
      <c r="B19" s="4" t="s">
        <v>43</v>
      </c>
      <c r="C19" s="5">
        <f>COUNTIF('CAPA Register'!O4:O50,"Overdue")</f>
        <v>0</v>
      </c>
      <c r="E19" s="4" t="s">
        <v>65</v>
      </c>
      <c r="F19" s="5">
        <f>COUNTIF('NC &amp; Incident Log'!C4:C60,"Customer Complaint")</f>
        <v>1</v>
      </c>
    </row>
    <row r="20" spans="2:9" x14ac:dyDescent="0.35">
      <c r="B20" s="4" t="s">
        <v>66</v>
      </c>
      <c r="C20" s="5">
        <f>COUNTIF('CAPA Register'!O4:O50,"Cancelled")</f>
        <v>0</v>
      </c>
      <c r="E20" s="4" t="s">
        <v>67</v>
      </c>
      <c r="F20" s="5">
        <f>COUNTIF('NC &amp; Incident Log'!C4:C60,"Inspection")</f>
        <v>1</v>
      </c>
    </row>
  </sheetData>
  <mergeCells count="19">
    <mergeCell ref="A1:I1"/>
    <mergeCell ref="H5:I5"/>
    <mergeCell ref="A13:I13"/>
    <mergeCell ref="H10:I11"/>
    <mergeCell ref="D6:E7"/>
    <mergeCell ref="F6:G7"/>
    <mergeCell ref="B9:C9"/>
    <mergeCell ref="D9:E9"/>
    <mergeCell ref="F9:G9"/>
    <mergeCell ref="H6:I7"/>
    <mergeCell ref="B10:C11"/>
    <mergeCell ref="B6:C7"/>
    <mergeCell ref="H9:I9"/>
    <mergeCell ref="A2:I2"/>
    <mergeCell ref="F5:G5"/>
    <mergeCell ref="D10:E11"/>
    <mergeCell ref="F10:G11"/>
    <mergeCell ref="B5:C5"/>
    <mergeCell ref="D5:E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9"/>
  <sheetViews>
    <sheetView showGridLines="0" workbookViewId="0">
      <pane ySplit="3" topLeftCell="A4" activePane="bottomLeft" state="frozen"/>
      <selection pane="bottomLeft" sqref="A1:R1"/>
    </sheetView>
  </sheetViews>
  <sheetFormatPr defaultRowHeight="14.5" x14ac:dyDescent="0.35"/>
  <cols>
    <col min="1" max="1" width="10" customWidth="1"/>
    <col min="2" max="2" width="12" customWidth="1"/>
    <col min="3" max="4" width="14" customWidth="1"/>
    <col min="5" max="5" width="12" customWidth="1"/>
    <col min="6" max="6" width="10" customWidth="1"/>
    <col min="7" max="7" width="18" customWidth="1"/>
    <col min="8" max="8" width="40" customWidth="1"/>
    <col min="9" max="9" width="30" customWidth="1"/>
    <col min="10" max="11" width="11" customWidth="1"/>
    <col min="12" max="12" width="10" customWidth="1"/>
    <col min="13" max="14" width="18" customWidth="1"/>
    <col min="15" max="15" width="13" customWidth="1"/>
    <col min="16" max="17" width="14" customWidth="1"/>
    <col min="18" max="18" width="12" customWidth="1"/>
  </cols>
  <sheetData>
    <row r="1" spans="1:18" ht="30" customHeight="1" x14ac:dyDescent="0.35">
      <c r="A1" s="40" t="s">
        <v>68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22" customHeight="1" x14ac:dyDescent="0.35">
      <c r="A2" s="36" t="s">
        <v>69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6" customHeight="1" x14ac:dyDescent="0.35">
      <c r="A3" s="3" t="s">
        <v>70</v>
      </c>
      <c r="B3" s="3" t="s">
        <v>71</v>
      </c>
      <c r="C3" s="3" t="s">
        <v>52</v>
      </c>
      <c r="D3" s="3" t="s">
        <v>72</v>
      </c>
      <c r="E3" s="3" t="s">
        <v>53</v>
      </c>
      <c r="F3" s="3" t="s">
        <v>73</v>
      </c>
      <c r="G3" s="3" t="s">
        <v>74</v>
      </c>
      <c r="H3" s="3" t="s">
        <v>75</v>
      </c>
      <c r="I3" s="3" t="s">
        <v>76</v>
      </c>
      <c r="J3" s="3" t="s">
        <v>77</v>
      </c>
      <c r="K3" s="3" t="s">
        <v>78</v>
      </c>
      <c r="L3" s="3" t="s">
        <v>79</v>
      </c>
      <c r="M3" s="3" t="s">
        <v>80</v>
      </c>
      <c r="N3" s="3" t="s">
        <v>81</v>
      </c>
      <c r="O3" s="3" t="s">
        <v>82</v>
      </c>
      <c r="P3" s="3" t="s">
        <v>50</v>
      </c>
      <c r="Q3" s="3" t="s">
        <v>83</v>
      </c>
      <c r="R3" s="3" t="s">
        <v>84</v>
      </c>
    </row>
    <row r="4" spans="1:18" ht="46" customHeight="1" x14ac:dyDescent="0.35">
      <c r="A4" s="6" t="s">
        <v>85</v>
      </c>
      <c r="B4" s="6" t="s">
        <v>86</v>
      </c>
      <c r="C4" s="6" t="s">
        <v>55</v>
      </c>
      <c r="D4" s="6" t="s">
        <v>87</v>
      </c>
      <c r="E4" s="6" t="s">
        <v>56</v>
      </c>
      <c r="F4" s="6" t="s">
        <v>88</v>
      </c>
      <c r="G4" s="6" t="s">
        <v>89</v>
      </c>
      <c r="H4" s="7" t="s">
        <v>90</v>
      </c>
      <c r="I4" s="7" t="s">
        <v>91</v>
      </c>
      <c r="J4" s="6">
        <v>4</v>
      </c>
      <c r="K4" s="6">
        <v>4</v>
      </c>
      <c r="L4" s="6">
        <f>J4*K4</f>
        <v>16</v>
      </c>
      <c r="M4" s="6" t="s">
        <v>92</v>
      </c>
      <c r="N4" s="6" t="s">
        <v>93</v>
      </c>
      <c r="O4" s="6" t="s">
        <v>94</v>
      </c>
      <c r="P4" s="6" t="s">
        <v>57</v>
      </c>
      <c r="Q4" s="6" t="s">
        <v>95</v>
      </c>
      <c r="R4" s="6" t="s">
        <v>96</v>
      </c>
    </row>
    <row r="5" spans="1:18" ht="46" customHeight="1" x14ac:dyDescent="0.35">
      <c r="A5" s="6" t="s">
        <v>97</v>
      </c>
      <c r="B5" s="6" t="s">
        <v>98</v>
      </c>
      <c r="C5" s="6" t="s">
        <v>61</v>
      </c>
      <c r="D5" s="6" t="s">
        <v>99</v>
      </c>
      <c r="E5" s="6" t="s">
        <v>62</v>
      </c>
      <c r="F5" s="6" t="s">
        <v>100</v>
      </c>
      <c r="G5" s="6" t="s">
        <v>101</v>
      </c>
      <c r="H5" s="7" t="s">
        <v>102</v>
      </c>
      <c r="I5" s="7" t="s">
        <v>103</v>
      </c>
      <c r="J5" s="6">
        <v>3</v>
      </c>
      <c r="K5" s="6">
        <v>4</v>
      </c>
      <c r="L5" s="6">
        <f>J5*K5</f>
        <v>12</v>
      </c>
      <c r="M5" s="6" t="s">
        <v>104</v>
      </c>
      <c r="N5" s="6" t="s">
        <v>105</v>
      </c>
      <c r="O5" s="6" t="s">
        <v>106</v>
      </c>
      <c r="P5" s="6" t="s">
        <v>54</v>
      </c>
      <c r="Q5" s="6" t="s">
        <v>107</v>
      </c>
      <c r="R5" s="6" t="s">
        <v>108</v>
      </c>
    </row>
    <row r="6" spans="1:18" ht="46" customHeight="1" x14ac:dyDescent="0.35">
      <c r="A6" s="6" t="s">
        <v>109</v>
      </c>
      <c r="B6" s="6" t="s">
        <v>110</v>
      </c>
      <c r="C6" s="6" t="s">
        <v>65</v>
      </c>
      <c r="D6" s="6" t="s">
        <v>87</v>
      </c>
      <c r="E6" s="6" t="s">
        <v>56</v>
      </c>
      <c r="F6" s="6" t="s">
        <v>111</v>
      </c>
      <c r="G6" s="6" t="s">
        <v>112</v>
      </c>
      <c r="H6" s="7" t="s">
        <v>113</v>
      </c>
      <c r="I6" s="7" t="s">
        <v>114</v>
      </c>
      <c r="J6" s="6">
        <v>4</v>
      </c>
      <c r="K6" s="6">
        <v>3</v>
      </c>
      <c r="L6" s="6">
        <f>J6*K6</f>
        <v>12</v>
      </c>
      <c r="M6" s="6" t="s">
        <v>115</v>
      </c>
      <c r="N6" s="6" t="s">
        <v>116</v>
      </c>
      <c r="O6" s="6" t="s">
        <v>117</v>
      </c>
      <c r="P6" s="6" t="s">
        <v>57</v>
      </c>
      <c r="Q6" s="6" t="s">
        <v>118</v>
      </c>
      <c r="R6" s="6" t="s">
        <v>96</v>
      </c>
    </row>
    <row r="7" spans="1:18" ht="46" customHeight="1" x14ac:dyDescent="0.35">
      <c r="A7" s="6" t="s">
        <v>119</v>
      </c>
      <c r="B7" s="6" t="s">
        <v>120</v>
      </c>
      <c r="C7" s="6" t="s">
        <v>67</v>
      </c>
      <c r="D7" s="6" t="s">
        <v>121</v>
      </c>
      <c r="E7" s="6" t="s">
        <v>59</v>
      </c>
      <c r="F7" s="6" t="s">
        <v>122</v>
      </c>
      <c r="G7" s="6" t="s">
        <v>123</v>
      </c>
      <c r="H7" s="7" t="s">
        <v>124</v>
      </c>
      <c r="I7" s="7" t="s">
        <v>125</v>
      </c>
      <c r="J7" s="6">
        <v>2</v>
      </c>
      <c r="K7" s="6">
        <v>3</v>
      </c>
      <c r="L7" s="6">
        <f>J7*K7</f>
        <v>6</v>
      </c>
      <c r="M7" s="6" t="s">
        <v>126</v>
      </c>
      <c r="N7" s="6" t="s">
        <v>127</v>
      </c>
      <c r="O7" s="6" t="s">
        <v>128</v>
      </c>
      <c r="P7" s="6" t="s">
        <v>54</v>
      </c>
      <c r="Q7" s="6" t="s">
        <v>129</v>
      </c>
      <c r="R7" s="6" t="s">
        <v>96</v>
      </c>
    </row>
    <row r="8" spans="1:18" ht="46" customHeight="1" x14ac:dyDescent="0.35">
      <c r="A8" s="6" t="s">
        <v>130</v>
      </c>
      <c r="B8" s="6" t="s">
        <v>131</v>
      </c>
      <c r="C8" s="6" t="s">
        <v>55</v>
      </c>
      <c r="D8" s="6" t="s">
        <v>99</v>
      </c>
      <c r="E8" s="6" t="s">
        <v>59</v>
      </c>
      <c r="F8" s="6" t="s">
        <v>132</v>
      </c>
      <c r="G8" s="6" t="s">
        <v>133</v>
      </c>
      <c r="H8" s="7" t="s">
        <v>134</v>
      </c>
      <c r="I8" s="7" t="s">
        <v>135</v>
      </c>
      <c r="J8" s="6">
        <v>2</v>
      </c>
      <c r="K8" s="6">
        <v>2</v>
      </c>
      <c r="L8" s="6">
        <f>J8*K8</f>
        <v>4</v>
      </c>
      <c r="M8" s="6" t="s">
        <v>136</v>
      </c>
      <c r="N8" s="6" t="s">
        <v>137</v>
      </c>
      <c r="O8" s="6" t="s">
        <v>138</v>
      </c>
      <c r="P8" s="6" t="s">
        <v>54</v>
      </c>
      <c r="Q8" s="6" t="s">
        <v>139</v>
      </c>
      <c r="R8" s="6" t="s">
        <v>96</v>
      </c>
    </row>
    <row r="9" spans="1:18" x14ac:dyDescent="0.3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>
        <f t="shared" ref="L9:L40" si="0">IFERROR(J9*K9,"")</f>
        <v>0</v>
      </c>
      <c r="M9" s="8"/>
      <c r="N9" s="8"/>
      <c r="O9" s="8"/>
      <c r="P9" s="8"/>
      <c r="Q9" s="8"/>
      <c r="R9" s="8"/>
    </row>
    <row r="10" spans="1:18" x14ac:dyDescent="0.3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>
        <f t="shared" si="0"/>
        <v>0</v>
      </c>
      <c r="M10" s="8"/>
      <c r="N10" s="8"/>
      <c r="O10" s="8"/>
      <c r="P10" s="8"/>
      <c r="Q10" s="8"/>
      <c r="R10" s="8"/>
    </row>
    <row r="11" spans="1:18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>
        <f t="shared" si="0"/>
        <v>0</v>
      </c>
      <c r="M11" s="8"/>
      <c r="N11" s="8"/>
      <c r="O11" s="8"/>
      <c r="P11" s="8"/>
      <c r="Q11" s="8"/>
      <c r="R11" s="8"/>
    </row>
    <row r="12" spans="1:18" x14ac:dyDescent="0.3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>
        <f t="shared" si="0"/>
        <v>0</v>
      </c>
      <c r="M12" s="8"/>
      <c r="N12" s="8"/>
      <c r="O12" s="8"/>
      <c r="P12" s="8"/>
      <c r="Q12" s="8"/>
      <c r="R12" s="8"/>
    </row>
    <row r="13" spans="1:18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>
        <f t="shared" si="0"/>
        <v>0</v>
      </c>
      <c r="M13" s="8"/>
      <c r="N13" s="8"/>
      <c r="O13" s="8"/>
      <c r="P13" s="8"/>
      <c r="Q13" s="8"/>
      <c r="R13" s="8"/>
    </row>
    <row r="14" spans="1:18" x14ac:dyDescent="0.3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>
        <f t="shared" si="0"/>
        <v>0</v>
      </c>
      <c r="M14" s="8"/>
      <c r="N14" s="8"/>
      <c r="O14" s="8"/>
      <c r="P14" s="8"/>
      <c r="Q14" s="8"/>
      <c r="R14" s="8"/>
    </row>
    <row r="15" spans="1:18" x14ac:dyDescent="0.3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>
        <f t="shared" si="0"/>
        <v>0</v>
      </c>
      <c r="M15" s="8"/>
      <c r="N15" s="8"/>
      <c r="O15" s="8"/>
      <c r="P15" s="8"/>
      <c r="Q15" s="8"/>
      <c r="R15" s="8"/>
    </row>
    <row r="16" spans="1:18" x14ac:dyDescent="0.3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>
        <f t="shared" si="0"/>
        <v>0</v>
      </c>
      <c r="M16" s="8"/>
      <c r="N16" s="8"/>
      <c r="O16" s="8"/>
      <c r="P16" s="8"/>
      <c r="Q16" s="8"/>
      <c r="R16" s="8"/>
    </row>
    <row r="17" spans="1:18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>
        <f t="shared" si="0"/>
        <v>0</v>
      </c>
      <c r="M17" s="8"/>
      <c r="N17" s="8"/>
      <c r="O17" s="8"/>
      <c r="P17" s="8"/>
      <c r="Q17" s="8"/>
      <c r="R17" s="8"/>
    </row>
    <row r="18" spans="1:18" x14ac:dyDescent="0.3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>
        <f t="shared" si="0"/>
        <v>0</v>
      </c>
      <c r="M18" s="8"/>
      <c r="N18" s="8"/>
      <c r="O18" s="8"/>
      <c r="P18" s="8"/>
      <c r="Q18" s="8"/>
      <c r="R18" s="8"/>
    </row>
    <row r="19" spans="1:18" x14ac:dyDescent="0.3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>
        <f t="shared" si="0"/>
        <v>0</v>
      </c>
      <c r="M19" s="8"/>
      <c r="N19" s="8"/>
      <c r="O19" s="8"/>
      <c r="P19" s="8"/>
      <c r="Q19" s="8"/>
      <c r="R19" s="8"/>
    </row>
    <row r="20" spans="1:18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>
        <f t="shared" si="0"/>
        <v>0</v>
      </c>
      <c r="M20" s="8"/>
      <c r="N20" s="8"/>
      <c r="O20" s="8"/>
      <c r="P20" s="8"/>
      <c r="Q20" s="8"/>
      <c r="R20" s="8"/>
    </row>
    <row r="21" spans="1:18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>
        <f t="shared" si="0"/>
        <v>0</v>
      </c>
      <c r="M21" s="8"/>
      <c r="N21" s="8"/>
      <c r="O21" s="8"/>
      <c r="P21" s="8"/>
      <c r="Q21" s="8"/>
      <c r="R21" s="8"/>
    </row>
    <row r="22" spans="1:18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>
        <f t="shared" si="0"/>
        <v>0</v>
      </c>
      <c r="M22" s="8"/>
      <c r="N22" s="8"/>
      <c r="O22" s="8"/>
      <c r="P22" s="8"/>
      <c r="Q22" s="8"/>
      <c r="R22" s="8"/>
    </row>
    <row r="23" spans="1:18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>
        <f t="shared" si="0"/>
        <v>0</v>
      </c>
      <c r="M23" s="8"/>
      <c r="N23" s="8"/>
      <c r="O23" s="8"/>
      <c r="P23" s="8"/>
      <c r="Q23" s="8"/>
      <c r="R23" s="8"/>
    </row>
    <row r="24" spans="1:18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>
        <f t="shared" si="0"/>
        <v>0</v>
      </c>
      <c r="M24" s="8"/>
      <c r="N24" s="8"/>
      <c r="O24" s="8"/>
      <c r="P24" s="8"/>
      <c r="Q24" s="8"/>
      <c r="R24" s="8"/>
    </row>
    <row r="25" spans="1:18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>
        <f t="shared" si="0"/>
        <v>0</v>
      </c>
      <c r="M25" s="8"/>
      <c r="N25" s="8"/>
      <c r="O25" s="8"/>
      <c r="P25" s="8"/>
      <c r="Q25" s="8"/>
      <c r="R25" s="8"/>
    </row>
    <row r="26" spans="1:18" x14ac:dyDescent="0.3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>
        <f t="shared" si="0"/>
        <v>0</v>
      </c>
      <c r="M26" s="8"/>
      <c r="N26" s="8"/>
      <c r="O26" s="8"/>
      <c r="P26" s="8"/>
      <c r="Q26" s="8"/>
      <c r="R26" s="8"/>
    </row>
    <row r="27" spans="1:18" x14ac:dyDescent="0.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>
        <f t="shared" si="0"/>
        <v>0</v>
      </c>
      <c r="M27" s="8"/>
      <c r="N27" s="8"/>
      <c r="O27" s="8"/>
      <c r="P27" s="8"/>
      <c r="Q27" s="8"/>
      <c r="R27" s="8"/>
    </row>
    <row r="28" spans="1:18" x14ac:dyDescent="0.3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>
        <f t="shared" si="0"/>
        <v>0</v>
      </c>
      <c r="M28" s="8"/>
      <c r="N28" s="8"/>
      <c r="O28" s="8"/>
      <c r="P28" s="8"/>
      <c r="Q28" s="8"/>
      <c r="R28" s="8"/>
    </row>
    <row r="29" spans="1:18" x14ac:dyDescent="0.3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>
        <f t="shared" si="0"/>
        <v>0</v>
      </c>
      <c r="M29" s="8"/>
      <c r="N29" s="8"/>
      <c r="O29" s="8"/>
      <c r="P29" s="8"/>
      <c r="Q29" s="8"/>
      <c r="R29" s="8"/>
    </row>
    <row r="30" spans="1:18" x14ac:dyDescent="0.3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>
        <f t="shared" si="0"/>
        <v>0</v>
      </c>
      <c r="M30" s="8"/>
      <c r="N30" s="8"/>
      <c r="O30" s="8"/>
      <c r="P30" s="8"/>
      <c r="Q30" s="8"/>
      <c r="R30" s="8"/>
    </row>
    <row r="31" spans="1:18" x14ac:dyDescent="0.3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>
        <f t="shared" si="0"/>
        <v>0</v>
      </c>
      <c r="M31" s="8"/>
      <c r="N31" s="8"/>
      <c r="O31" s="8"/>
      <c r="P31" s="8"/>
      <c r="Q31" s="8"/>
      <c r="R31" s="8"/>
    </row>
    <row r="32" spans="1:18" x14ac:dyDescent="0.3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>
        <f t="shared" si="0"/>
        <v>0</v>
      </c>
      <c r="M32" s="8"/>
      <c r="N32" s="8"/>
      <c r="O32" s="8"/>
      <c r="P32" s="8"/>
      <c r="Q32" s="8"/>
      <c r="R32" s="8"/>
    </row>
    <row r="33" spans="1:18" x14ac:dyDescent="0.3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>
        <f t="shared" si="0"/>
        <v>0</v>
      </c>
      <c r="M33" s="8"/>
      <c r="N33" s="8"/>
      <c r="O33" s="8"/>
      <c r="P33" s="8"/>
      <c r="Q33" s="8"/>
      <c r="R33" s="8"/>
    </row>
    <row r="34" spans="1:18" x14ac:dyDescent="0.3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>
        <f t="shared" si="0"/>
        <v>0</v>
      </c>
      <c r="M34" s="8"/>
      <c r="N34" s="8"/>
      <c r="O34" s="8"/>
      <c r="P34" s="8"/>
      <c r="Q34" s="8"/>
      <c r="R34" s="8"/>
    </row>
    <row r="35" spans="1:18" x14ac:dyDescent="0.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>
        <f t="shared" si="0"/>
        <v>0</v>
      </c>
      <c r="M35" s="8"/>
      <c r="N35" s="8"/>
      <c r="O35" s="8"/>
      <c r="P35" s="8"/>
      <c r="Q35" s="8"/>
      <c r="R35" s="8"/>
    </row>
    <row r="36" spans="1:18" x14ac:dyDescent="0.3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>
        <f t="shared" si="0"/>
        <v>0</v>
      </c>
      <c r="M36" s="8"/>
      <c r="N36" s="8"/>
      <c r="O36" s="8"/>
      <c r="P36" s="8"/>
      <c r="Q36" s="8"/>
      <c r="R36" s="8"/>
    </row>
    <row r="37" spans="1:18" x14ac:dyDescent="0.3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>
        <f t="shared" si="0"/>
        <v>0</v>
      </c>
      <c r="M37" s="8"/>
      <c r="N37" s="8"/>
      <c r="O37" s="8"/>
      <c r="P37" s="8"/>
      <c r="Q37" s="8"/>
      <c r="R37" s="8"/>
    </row>
    <row r="38" spans="1:18" x14ac:dyDescent="0.3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>
        <f t="shared" si="0"/>
        <v>0</v>
      </c>
      <c r="M38" s="8"/>
      <c r="N38" s="8"/>
      <c r="O38" s="8"/>
      <c r="P38" s="8"/>
      <c r="Q38" s="8"/>
      <c r="R38" s="8"/>
    </row>
    <row r="39" spans="1:18" x14ac:dyDescent="0.3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>
        <f t="shared" si="0"/>
        <v>0</v>
      </c>
      <c r="M39" s="8"/>
      <c r="N39" s="8"/>
      <c r="O39" s="8"/>
      <c r="P39" s="8"/>
      <c r="Q39" s="8"/>
      <c r="R39" s="8"/>
    </row>
    <row r="40" spans="1:18" x14ac:dyDescent="0.3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>
        <f t="shared" si="0"/>
        <v>0</v>
      </c>
      <c r="M40" s="8"/>
      <c r="N40" s="8"/>
      <c r="O40" s="8"/>
      <c r="P40" s="8"/>
      <c r="Q40" s="8"/>
      <c r="R40" s="8"/>
    </row>
    <row r="41" spans="1:18" x14ac:dyDescent="0.3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>
        <f t="shared" ref="L41:L72" si="1">IFERROR(J41*K41,"")</f>
        <v>0</v>
      </c>
      <c r="M41" s="8"/>
      <c r="N41" s="8"/>
      <c r="O41" s="8"/>
      <c r="P41" s="8"/>
      <c r="Q41" s="8"/>
      <c r="R41" s="8"/>
    </row>
    <row r="42" spans="1:18" x14ac:dyDescent="0.3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>
        <f t="shared" si="1"/>
        <v>0</v>
      </c>
      <c r="M42" s="8"/>
      <c r="N42" s="8"/>
      <c r="O42" s="8"/>
      <c r="P42" s="8"/>
      <c r="Q42" s="8"/>
      <c r="R42" s="8"/>
    </row>
    <row r="43" spans="1:18" x14ac:dyDescent="0.3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>
        <f t="shared" si="1"/>
        <v>0</v>
      </c>
      <c r="M43" s="8"/>
      <c r="N43" s="8"/>
      <c r="O43" s="8"/>
      <c r="P43" s="8"/>
      <c r="Q43" s="8"/>
      <c r="R43" s="8"/>
    </row>
    <row r="44" spans="1:18" x14ac:dyDescent="0.3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>
        <f t="shared" si="1"/>
        <v>0</v>
      </c>
      <c r="M44" s="8"/>
      <c r="N44" s="8"/>
      <c r="O44" s="8"/>
      <c r="P44" s="8"/>
      <c r="Q44" s="8"/>
      <c r="R44" s="8"/>
    </row>
    <row r="45" spans="1:18" x14ac:dyDescent="0.3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>
        <f t="shared" si="1"/>
        <v>0</v>
      </c>
      <c r="M45" s="8"/>
      <c r="N45" s="8"/>
      <c r="O45" s="8"/>
      <c r="P45" s="8"/>
      <c r="Q45" s="8"/>
      <c r="R45" s="8"/>
    </row>
    <row r="46" spans="1:18" x14ac:dyDescent="0.3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>
        <f t="shared" si="1"/>
        <v>0</v>
      </c>
      <c r="M46" s="8"/>
      <c r="N46" s="8"/>
      <c r="O46" s="8"/>
      <c r="P46" s="8"/>
      <c r="Q46" s="8"/>
      <c r="R46" s="8"/>
    </row>
    <row r="47" spans="1:18" x14ac:dyDescent="0.3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>
        <f t="shared" si="1"/>
        <v>0</v>
      </c>
      <c r="M47" s="8"/>
      <c r="N47" s="8"/>
      <c r="O47" s="8"/>
      <c r="P47" s="8"/>
      <c r="Q47" s="8"/>
      <c r="R47" s="8"/>
    </row>
    <row r="48" spans="1:18" x14ac:dyDescent="0.3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>
        <f t="shared" si="1"/>
        <v>0</v>
      </c>
      <c r="M48" s="8"/>
      <c r="N48" s="8"/>
      <c r="O48" s="8"/>
      <c r="P48" s="8"/>
      <c r="Q48" s="8"/>
      <c r="R48" s="8"/>
    </row>
    <row r="49" spans="1:18" x14ac:dyDescent="0.3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>
        <f t="shared" si="1"/>
        <v>0</v>
      </c>
      <c r="M49" s="8"/>
      <c r="N49" s="8"/>
      <c r="O49" s="8"/>
      <c r="P49" s="8"/>
      <c r="Q49" s="8"/>
      <c r="R49" s="8"/>
    </row>
    <row r="50" spans="1:18" x14ac:dyDescent="0.3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>
        <f t="shared" si="1"/>
        <v>0</v>
      </c>
      <c r="M50" s="8"/>
      <c r="N50" s="8"/>
      <c r="O50" s="8"/>
      <c r="P50" s="8"/>
      <c r="Q50" s="8"/>
      <c r="R50" s="8"/>
    </row>
    <row r="51" spans="1:18" x14ac:dyDescent="0.3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>
        <f t="shared" si="1"/>
        <v>0</v>
      </c>
      <c r="M51" s="8"/>
      <c r="N51" s="8"/>
      <c r="O51" s="8"/>
      <c r="P51" s="8"/>
      <c r="Q51" s="8"/>
      <c r="R51" s="8"/>
    </row>
    <row r="52" spans="1:18" x14ac:dyDescent="0.3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>
        <f t="shared" si="1"/>
        <v>0</v>
      </c>
      <c r="M52" s="8"/>
      <c r="N52" s="8"/>
      <c r="O52" s="8"/>
      <c r="P52" s="8"/>
      <c r="Q52" s="8"/>
      <c r="R52" s="8"/>
    </row>
    <row r="53" spans="1:18" x14ac:dyDescent="0.3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>
        <f t="shared" si="1"/>
        <v>0</v>
      </c>
      <c r="M53" s="8"/>
      <c r="N53" s="8"/>
      <c r="O53" s="8"/>
      <c r="P53" s="8"/>
      <c r="Q53" s="8"/>
      <c r="R53" s="8"/>
    </row>
    <row r="54" spans="1:18" x14ac:dyDescent="0.3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>
        <f t="shared" si="1"/>
        <v>0</v>
      </c>
      <c r="M54" s="8"/>
      <c r="N54" s="8"/>
      <c r="O54" s="8"/>
      <c r="P54" s="8"/>
      <c r="Q54" s="8"/>
      <c r="R54" s="8"/>
    </row>
    <row r="55" spans="1:18" x14ac:dyDescent="0.3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>
        <f t="shared" si="1"/>
        <v>0</v>
      </c>
      <c r="M55" s="8"/>
      <c r="N55" s="8"/>
      <c r="O55" s="8"/>
      <c r="P55" s="8"/>
      <c r="Q55" s="8"/>
      <c r="R55" s="8"/>
    </row>
    <row r="56" spans="1:18" x14ac:dyDescent="0.3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>
        <f t="shared" si="1"/>
        <v>0</v>
      </c>
      <c r="M56" s="8"/>
      <c r="N56" s="8"/>
      <c r="O56" s="8"/>
      <c r="P56" s="8"/>
      <c r="Q56" s="8"/>
      <c r="R56" s="8"/>
    </row>
    <row r="57" spans="1:18" x14ac:dyDescent="0.3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>
        <f t="shared" si="1"/>
        <v>0</v>
      </c>
      <c r="M57" s="8"/>
      <c r="N57" s="8"/>
      <c r="O57" s="8"/>
      <c r="P57" s="8"/>
      <c r="Q57" s="8"/>
      <c r="R57" s="8"/>
    </row>
    <row r="58" spans="1:18" x14ac:dyDescent="0.3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>
        <f t="shared" si="1"/>
        <v>0</v>
      </c>
      <c r="M58" s="8"/>
      <c r="N58" s="8"/>
      <c r="O58" s="8"/>
      <c r="P58" s="8"/>
      <c r="Q58" s="8"/>
      <c r="R58" s="8"/>
    </row>
    <row r="59" spans="1:18" x14ac:dyDescent="0.3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>
        <f t="shared" si="1"/>
        <v>0</v>
      </c>
      <c r="M59" s="8"/>
      <c r="N59" s="8"/>
      <c r="O59" s="8"/>
      <c r="P59" s="8"/>
      <c r="Q59" s="8"/>
      <c r="R59" s="8"/>
    </row>
  </sheetData>
  <mergeCells count="2">
    <mergeCell ref="A2:R2"/>
    <mergeCell ref="A1:R1"/>
  </mergeCells>
  <conditionalFormatting sqref="L4:L60">
    <cfRule type="colorScale" priority="1">
      <colorScale>
        <cfvo type="num" val="1"/>
        <cfvo type="num" val="12"/>
        <cfvo type="num" val="25"/>
        <color rgb="FF2E7D5B"/>
        <color rgb="FFE0A23A"/>
        <color rgb="FFB0413E"/>
      </colorScale>
    </cfRule>
  </conditionalFormatting>
  <dataValidations count="6">
    <dataValidation type="list" allowBlank="1" sqref="C4:C60" xr:uid="{00000000-0002-0000-0200-000000000000}">
      <formula1>"Internal Audit,External Audit,Incident,Near Miss,Customer Complaint,Inspection,Management Review,Supplier,Regulatory,Other"</formula1>
    </dataValidation>
    <dataValidation type="list" allowBlank="1" sqref="D4:D60" xr:uid="{00000000-0002-0000-0200-000001000000}">
      <formula1>"Major NC,Minor NC,Observation,OFI,Incident,Near Miss"</formula1>
    </dataValidation>
    <dataValidation type="list" allowBlank="1" sqref="E4:E60" xr:uid="{00000000-0002-0000-0200-000002000000}">
      <formula1>"ISO 9001,ISO 14001,ISO 45001,Integrated"</formula1>
    </dataValidation>
    <dataValidation type="list" allowBlank="1" sqref="P4:P60" xr:uid="{00000000-0002-0000-0200-000003000000}">
      <formula1>"Open,In Progress,Pending Verification,Closed,Cancelled"</formula1>
    </dataValidation>
    <dataValidation type="list" allowBlank="1" sqref="J4:K60" xr:uid="{00000000-0002-0000-0200-000004000000}">
      <formula1>"1,2,3,4,5"</formula1>
    </dataValidation>
    <dataValidation type="list" allowBlank="1" sqref="R4:R60" xr:uid="{00000000-0002-0000-0200-000005000000}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8"/>
  <sheetViews>
    <sheetView showGridLines="0" tabSelected="1" topLeftCell="A21" workbookViewId="0">
      <selection activeCell="E8" sqref="E8:I8"/>
    </sheetView>
  </sheetViews>
  <sheetFormatPr defaultRowHeight="14.5" x14ac:dyDescent="0.35"/>
  <cols>
    <col min="1" max="1" width="4" customWidth="1"/>
    <col min="2" max="2" width="27.7265625" bestFit="1" customWidth="1"/>
    <col min="3" max="9" width="28" customWidth="1"/>
    <col min="10" max="10" width="4" customWidth="1"/>
  </cols>
  <sheetData>
    <row r="1" spans="1:9" ht="30" customHeight="1" x14ac:dyDescent="0.35">
      <c r="A1" s="40" t="s">
        <v>140</v>
      </c>
      <c r="B1" s="28"/>
      <c r="C1" s="28"/>
      <c r="D1" s="28"/>
      <c r="E1" s="28"/>
      <c r="F1" s="28"/>
      <c r="G1" s="28"/>
      <c r="H1" s="28"/>
      <c r="I1" s="28"/>
    </row>
    <row r="2" spans="1:9" ht="22" customHeight="1" x14ac:dyDescent="0.35">
      <c r="A2" s="36" t="s">
        <v>141</v>
      </c>
      <c r="B2" s="28"/>
      <c r="C2" s="28"/>
      <c r="D2" s="28"/>
      <c r="E2" s="28"/>
      <c r="F2" s="28"/>
      <c r="G2" s="28"/>
      <c r="H2" s="28"/>
      <c r="I2" s="28"/>
    </row>
    <row r="4" spans="1:9" x14ac:dyDescent="0.35">
      <c r="B4" s="1" t="s">
        <v>142</v>
      </c>
      <c r="C4" s="9" t="s">
        <v>143</v>
      </c>
      <c r="D4" s="1" t="s">
        <v>144</v>
      </c>
      <c r="E4" s="45" t="s">
        <v>145</v>
      </c>
      <c r="F4" s="28"/>
      <c r="G4" s="28"/>
      <c r="H4" s="28"/>
      <c r="I4" s="28"/>
    </row>
    <row r="6" spans="1:9" ht="22" customHeight="1" x14ac:dyDescent="0.35">
      <c r="A6" s="38" t="s">
        <v>146</v>
      </c>
      <c r="B6" s="28"/>
      <c r="C6" s="28"/>
      <c r="D6" s="28"/>
      <c r="E6" s="28"/>
      <c r="F6" s="28"/>
      <c r="G6" s="28"/>
      <c r="H6" s="28"/>
      <c r="I6" s="28"/>
    </row>
    <row r="7" spans="1:9" x14ac:dyDescent="0.35">
      <c r="B7" s="3" t="s">
        <v>147</v>
      </c>
      <c r="C7" s="46" t="s">
        <v>148</v>
      </c>
      <c r="D7" s="28"/>
      <c r="E7" s="46" t="s">
        <v>149</v>
      </c>
      <c r="F7" s="28"/>
      <c r="G7" s="28"/>
      <c r="H7" s="28"/>
      <c r="I7" s="28"/>
    </row>
    <row r="8" spans="1:9" ht="38" customHeight="1" x14ac:dyDescent="0.35">
      <c r="B8" s="10" t="s">
        <v>150</v>
      </c>
      <c r="C8" s="41" t="s">
        <v>151</v>
      </c>
      <c r="D8" s="28"/>
      <c r="E8" s="41"/>
      <c r="F8" s="28"/>
      <c r="G8" s="28"/>
      <c r="H8" s="28"/>
      <c r="I8" s="28"/>
    </row>
    <row r="9" spans="1:9" ht="38" customHeight="1" x14ac:dyDescent="0.35">
      <c r="B9" s="10" t="s">
        <v>152</v>
      </c>
      <c r="C9" s="41" t="s">
        <v>153</v>
      </c>
      <c r="D9" s="28"/>
      <c r="E9" s="41"/>
      <c r="F9" s="28"/>
      <c r="G9" s="28"/>
      <c r="H9" s="28"/>
      <c r="I9" s="28"/>
    </row>
    <row r="10" spans="1:9" ht="38" customHeight="1" x14ac:dyDescent="0.35">
      <c r="B10" s="10" t="s">
        <v>154</v>
      </c>
      <c r="C10" s="41" t="s">
        <v>153</v>
      </c>
      <c r="D10" s="28"/>
      <c r="E10" s="41"/>
      <c r="F10" s="28"/>
      <c r="G10" s="28"/>
      <c r="H10" s="28"/>
      <c r="I10" s="28"/>
    </row>
    <row r="11" spans="1:9" ht="38" customHeight="1" x14ac:dyDescent="0.35">
      <c r="B11" s="10" t="s">
        <v>155</v>
      </c>
      <c r="C11" s="41" t="s">
        <v>153</v>
      </c>
      <c r="D11" s="28"/>
      <c r="E11" s="41"/>
      <c r="F11" s="28"/>
      <c r="G11" s="28"/>
      <c r="H11" s="28"/>
      <c r="I11" s="28"/>
    </row>
    <row r="12" spans="1:9" ht="38" customHeight="1" x14ac:dyDescent="0.35">
      <c r="B12" s="10" t="s">
        <v>156</v>
      </c>
      <c r="C12" s="41" t="s">
        <v>157</v>
      </c>
      <c r="D12" s="28"/>
      <c r="E12" s="41"/>
      <c r="F12" s="28"/>
      <c r="G12" s="28"/>
      <c r="H12" s="28"/>
      <c r="I12" s="28"/>
    </row>
    <row r="14" spans="1:9" ht="34" customHeight="1" x14ac:dyDescent="0.35">
      <c r="B14" s="12" t="s">
        <v>158</v>
      </c>
      <c r="C14" s="44"/>
      <c r="D14" s="28"/>
      <c r="E14" s="28"/>
      <c r="F14" s="28"/>
      <c r="G14" s="28"/>
      <c r="H14" s="28"/>
      <c r="I14" s="28"/>
    </row>
    <row r="16" spans="1:9" ht="22" customHeight="1" x14ac:dyDescent="0.35">
      <c r="A16" s="38" t="s">
        <v>159</v>
      </c>
      <c r="B16" s="28"/>
      <c r="C16" s="28"/>
      <c r="D16" s="28"/>
      <c r="E16" s="28"/>
      <c r="F16" s="28"/>
      <c r="G16" s="28"/>
      <c r="H16" s="28"/>
      <c r="I16" s="28"/>
    </row>
    <row r="17" spans="1:9" x14ac:dyDescent="0.35">
      <c r="B17" s="3" t="s">
        <v>160</v>
      </c>
      <c r="C17" s="46" t="s">
        <v>161</v>
      </c>
      <c r="D17" s="28"/>
      <c r="E17" s="46" t="s">
        <v>162</v>
      </c>
      <c r="F17" s="28"/>
      <c r="G17" s="28"/>
      <c r="H17" s="46" t="s">
        <v>163</v>
      </c>
      <c r="I17" s="28"/>
    </row>
    <row r="18" spans="1:9" ht="44" customHeight="1" x14ac:dyDescent="0.35">
      <c r="B18" s="14" t="s">
        <v>164</v>
      </c>
      <c r="C18" s="43" t="s">
        <v>165</v>
      </c>
      <c r="D18" s="28"/>
      <c r="E18" s="41"/>
      <c r="F18" s="28"/>
      <c r="G18" s="28"/>
      <c r="H18" s="42"/>
      <c r="I18" s="28"/>
    </row>
    <row r="19" spans="1:9" ht="44" customHeight="1" x14ac:dyDescent="0.35">
      <c r="B19" s="14" t="s">
        <v>166</v>
      </c>
      <c r="C19" s="43" t="s">
        <v>167</v>
      </c>
      <c r="D19" s="28"/>
      <c r="E19" s="41"/>
      <c r="F19" s="28"/>
      <c r="G19" s="28"/>
      <c r="H19" s="42"/>
      <c r="I19" s="28"/>
    </row>
    <row r="20" spans="1:9" ht="44" customHeight="1" x14ac:dyDescent="0.35">
      <c r="B20" s="14" t="s">
        <v>168</v>
      </c>
      <c r="C20" s="43" t="s">
        <v>169</v>
      </c>
      <c r="D20" s="28"/>
      <c r="E20" s="41"/>
      <c r="F20" s="28"/>
      <c r="G20" s="28"/>
      <c r="H20" s="42"/>
      <c r="I20" s="28"/>
    </row>
    <row r="21" spans="1:9" ht="44" customHeight="1" x14ac:dyDescent="0.35">
      <c r="B21" s="14" t="s">
        <v>170</v>
      </c>
      <c r="C21" s="43" t="s">
        <v>171</v>
      </c>
      <c r="D21" s="28"/>
      <c r="E21" s="41"/>
      <c r="F21" s="28"/>
      <c r="G21" s="28"/>
      <c r="H21" s="42"/>
      <c r="I21" s="28"/>
    </row>
    <row r="22" spans="1:9" ht="44" customHeight="1" x14ac:dyDescent="0.35">
      <c r="B22" s="14" t="s">
        <v>172</v>
      </c>
      <c r="C22" s="43" t="s">
        <v>173</v>
      </c>
      <c r="D22" s="28"/>
      <c r="E22" s="41"/>
      <c r="F22" s="28"/>
      <c r="G22" s="28"/>
      <c r="H22" s="42"/>
      <c r="I22" s="28"/>
    </row>
    <row r="23" spans="1:9" ht="44" customHeight="1" x14ac:dyDescent="0.35">
      <c r="B23" s="14" t="s">
        <v>174</v>
      </c>
      <c r="C23" s="43" t="s">
        <v>175</v>
      </c>
      <c r="D23" s="28"/>
      <c r="E23" s="41"/>
      <c r="F23" s="28"/>
      <c r="G23" s="28"/>
      <c r="H23" s="42"/>
      <c r="I23" s="28"/>
    </row>
    <row r="25" spans="1:9" ht="22" customHeight="1" x14ac:dyDescent="0.35">
      <c r="A25" s="38" t="s">
        <v>176</v>
      </c>
      <c r="B25" s="28"/>
      <c r="C25" s="28"/>
      <c r="D25" s="28"/>
      <c r="E25" s="28"/>
      <c r="F25" s="28"/>
      <c r="G25" s="28"/>
      <c r="H25" s="28"/>
      <c r="I25" s="28"/>
    </row>
    <row r="26" spans="1:9" ht="40" customHeight="1" x14ac:dyDescent="0.35">
      <c r="B26" s="1" t="s">
        <v>177</v>
      </c>
      <c r="C26" s="41"/>
      <c r="D26" s="28"/>
      <c r="E26" s="28"/>
      <c r="F26" s="28"/>
      <c r="G26" s="28"/>
      <c r="H26" s="28"/>
      <c r="I26" s="28"/>
    </row>
    <row r="27" spans="1:9" x14ac:dyDescent="0.35">
      <c r="B27" s="1" t="s">
        <v>178</v>
      </c>
      <c r="C27" s="44"/>
      <c r="D27" s="28"/>
      <c r="E27" s="28"/>
      <c r="F27" s="28"/>
      <c r="G27" s="28"/>
      <c r="H27" s="28"/>
      <c r="I27" s="28"/>
    </row>
    <row r="28" spans="1:9" x14ac:dyDescent="0.35">
      <c r="B28" s="1" t="s">
        <v>179</v>
      </c>
      <c r="C28" s="44"/>
      <c r="D28" s="28"/>
      <c r="E28" s="28"/>
      <c r="F28" s="28"/>
      <c r="G28" s="28"/>
      <c r="H28" s="28"/>
      <c r="I28" s="28"/>
    </row>
  </sheetData>
  <mergeCells count="43">
    <mergeCell ref="C27:I27"/>
    <mergeCell ref="E20:G20"/>
    <mergeCell ref="A16:I16"/>
    <mergeCell ref="A1:I1"/>
    <mergeCell ref="E17:G17"/>
    <mergeCell ref="H23:I23"/>
    <mergeCell ref="A6:I6"/>
    <mergeCell ref="C18:D18"/>
    <mergeCell ref="C7:D7"/>
    <mergeCell ref="E7:I7"/>
    <mergeCell ref="E23:G23"/>
    <mergeCell ref="H18:I18"/>
    <mergeCell ref="C19:D19"/>
    <mergeCell ref="C28:I28"/>
    <mergeCell ref="H21:I21"/>
    <mergeCell ref="A2:I2"/>
    <mergeCell ref="E4:I4"/>
    <mergeCell ref="C10:D10"/>
    <mergeCell ref="E10:I10"/>
    <mergeCell ref="C22:D22"/>
    <mergeCell ref="C9:D9"/>
    <mergeCell ref="E9:I9"/>
    <mergeCell ref="H17:I17"/>
    <mergeCell ref="C14:I14"/>
    <mergeCell ref="C12:D12"/>
    <mergeCell ref="C21:D21"/>
    <mergeCell ref="E22:G22"/>
    <mergeCell ref="C26:I26"/>
    <mergeCell ref="C11:D11"/>
    <mergeCell ref="A25:I25"/>
    <mergeCell ref="E12:I12"/>
    <mergeCell ref="E19:G19"/>
    <mergeCell ref="H20:I20"/>
    <mergeCell ref="E8:I8"/>
    <mergeCell ref="C20:D20"/>
    <mergeCell ref="E11:I11"/>
    <mergeCell ref="E18:G18"/>
    <mergeCell ref="H19:I19"/>
    <mergeCell ref="E21:G21"/>
    <mergeCell ref="H22:I22"/>
    <mergeCell ref="C17:D17"/>
    <mergeCell ref="C23:D23"/>
    <mergeCell ref="C8:D8"/>
  </mergeCells>
  <dataValidations count="1">
    <dataValidation type="list" allowBlank="1" sqref="H18:I23" xr:uid="{00000000-0002-0000-0300-000000000000}">
      <formula1>"Yes,No,Maybe"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9"/>
  <sheetViews>
    <sheetView showGridLines="0" topLeftCell="I1" workbookViewId="0">
      <pane ySplit="3" topLeftCell="A4" activePane="bottomLeft" state="frozen"/>
      <selection pane="bottomLeft" sqref="A1:R1"/>
    </sheetView>
  </sheetViews>
  <sheetFormatPr defaultRowHeight="14.5" x14ac:dyDescent="0.35"/>
  <cols>
    <col min="1" max="1" width="10" customWidth="1"/>
    <col min="2" max="2" width="11" customWidth="1"/>
    <col min="3" max="3" width="12" customWidth="1"/>
    <col min="4" max="4" width="14" customWidth="1"/>
    <col min="5" max="5" width="12" customWidth="1"/>
    <col min="6" max="6" width="10" customWidth="1"/>
    <col min="7" max="7" width="32" customWidth="1"/>
    <col min="8" max="9" width="34" customWidth="1"/>
    <col min="10" max="10" width="18" customWidth="1"/>
    <col min="11" max="11" width="14" customWidth="1"/>
    <col min="12" max="13" width="12" customWidth="1"/>
    <col min="14" max="14" width="11" customWidth="1"/>
    <col min="15" max="15" width="14" customWidth="1"/>
    <col min="16" max="16" width="22" customWidth="1"/>
    <col min="17" max="17" width="16" customWidth="1"/>
    <col min="18" max="18" width="12" customWidth="1"/>
  </cols>
  <sheetData>
    <row r="1" spans="1:18" ht="30" customHeight="1" x14ac:dyDescent="0.35">
      <c r="A1" s="40" t="s">
        <v>180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22" customHeight="1" x14ac:dyDescent="0.35">
      <c r="A2" s="36" t="s">
        <v>181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42" customHeight="1" x14ac:dyDescent="0.35">
      <c r="A3" s="3" t="s">
        <v>142</v>
      </c>
      <c r="B3" s="3" t="s">
        <v>182</v>
      </c>
      <c r="C3" s="3" t="s">
        <v>183</v>
      </c>
      <c r="D3" s="3" t="s">
        <v>184</v>
      </c>
      <c r="E3" s="3" t="s">
        <v>53</v>
      </c>
      <c r="F3" s="3" t="s">
        <v>73</v>
      </c>
      <c r="G3" s="3" t="s">
        <v>185</v>
      </c>
      <c r="H3" s="3" t="s">
        <v>186</v>
      </c>
      <c r="I3" s="3" t="s">
        <v>187</v>
      </c>
      <c r="J3" s="3" t="s">
        <v>188</v>
      </c>
      <c r="K3" s="3" t="s">
        <v>189</v>
      </c>
      <c r="L3" s="3" t="s">
        <v>190</v>
      </c>
      <c r="M3" s="3" t="s">
        <v>191</v>
      </c>
      <c r="N3" s="3" t="s">
        <v>192</v>
      </c>
      <c r="O3" s="3" t="s">
        <v>50</v>
      </c>
      <c r="P3" s="3" t="s">
        <v>193</v>
      </c>
      <c r="Q3" s="3" t="s">
        <v>194</v>
      </c>
      <c r="R3" s="3" t="s">
        <v>195</v>
      </c>
    </row>
    <row r="4" spans="1:18" ht="68" customHeight="1" x14ac:dyDescent="0.35">
      <c r="A4" s="6" t="s">
        <v>95</v>
      </c>
      <c r="B4" s="6" t="s">
        <v>85</v>
      </c>
      <c r="C4" s="6" t="s">
        <v>196</v>
      </c>
      <c r="D4" s="6" t="s">
        <v>197</v>
      </c>
      <c r="E4" s="6" t="s">
        <v>56</v>
      </c>
      <c r="F4" s="6" t="s">
        <v>88</v>
      </c>
      <c r="G4" s="7" t="s">
        <v>198</v>
      </c>
      <c r="H4" s="7" t="s">
        <v>199</v>
      </c>
      <c r="I4" s="7" t="s">
        <v>200</v>
      </c>
      <c r="J4" s="6" t="s">
        <v>93</v>
      </c>
      <c r="K4" s="6">
        <v>450000</v>
      </c>
      <c r="L4" s="6" t="s">
        <v>94</v>
      </c>
      <c r="M4" s="6"/>
      <c r="N4" s="6">
        <v>60</v>
      </c>
      <c r="O4" s="6" t="s">
        <v>57</v>
      </c>
      <c r="P4" s="7" t="s">
        <v>201</v>
      </c>
      <c r="Q4" s="6" t="s">
        <v>202</v>
      </c>
      <c r="R4" s="6"/>
    </row>
    <row r="5" spans="1:18" ht="68" customHeight="1" x14ac:dyDescent="0.35">
      <c r="A5" s="6" t="s">
        <v>107</v>
      </c>
      <c r="B5" s="6" t="s">
        <v>97</v>
      </c>
      <c r="C5" s="6" t="s">
        <v>203</v>
      </c>
      <c r="D5" s="6" t="s">
        <v>204</v>
      </c>
      <c r="E5" s="6" t="s">
        <v>62</v>
      </c>
      <c r="F5" s="6" t="s">
        <v>100</v>
      </c>
      <c r="G5" s="7" t="s">
        <v>205</v>
      </c>
      <c r="H5" s="7" t="s">
        <v>206</v>
      </c>
      <c r="I5" s="7" t="s">
        <v>207</v>
      </c>
      <c r="J5" s="6" t="s">
        <v>105</v>
      </c>
      <c r="K5" s="6">
        <v>1200000</v>
      </c>
      <c r="L5" s="6" t="s">
        <v>106</v>
      </c>
      <c r="M5" s="6"/>
      <c r="N5" s="6">
        <v>40</v>
      </c>
      <c r="O5" s="6" t="s">
        <v>57</v>
      </c>
      <c r="P5" s="7" t="s">
        <v>208</v>
      </c>
      <c r="Q5" s="6" t="s">
        <v>209</v>
      </c>
      <c r="R5" s="6"/>
    </row>
    <row r="6" spans="1:18" ht="68" customHeight="1" x14ac:dyDescent="0.35">
      <c r="A6" s="6" t="s">
        <v>118</v>
      </c>
      <c r="B6" s="6" t="s">
        <v>109</v>
      </c>
      <c r="C6" s="6" t="s">
        <v>210</v>
      </c>
      <c r="D6" s="6" t="s">
        <v>197</v>
      </c>
      <c r="E6" s="6" t="s">
        <v>56</v>
      </c>
      <c r="F6" s="6" t="s">
        <v>111</v>
      </c>
      <c r="G6" s="7" t="s">
        <v>211</v>
      </c>
      <c r="H6" s="7" t="s">
        <v>212</v>
      </c>
      <c r="I6" s="7" t="s">
        <v>213</v>
      </c>
      <c r="J6" s="6" t="s">
        <v>116</v>
      </c>
      <c r="K6" s="6">
        <v>2800000</v>
      </c>
      <c r="L6" s="6" t="s">
        <v>117</v>
      </c>
      <c r="M6" s="6"/>
      <c r="N6" s="6">
        <v>75</v>
      </c>
      <c r="O6" s="6" t="s">
        <v>60</v>
      </c>
      <c r="P6" s="7" t="s">
        <v>214</v>
      </c>
      <c r="Q6" s="6" t="s">
        <v>215</v>
      </c>
      <c r="R6" s="6"/>
    </row>
    <row r="7" spans="1:18" ht="68" customHeight="1" x14ac:dyDescent="0.35">
      <c r="A7" s="6" t="s">
        <v>129</v>
      </c>
      <c r="B7" s="6" t="s">
        <v>119</v>
      </c>
      <c r="C7" s="6" t="s">
        <v>216</v>
      </c>
      <c r="D7" s="6" t="s">
        <v>217</v>
      </c>
      <c r="E7" s="6" t="s">
        <v>59</v>
      </c>
      <c r="F7" s="6" t="s">
        <v>122</v>
      </c>
      <c r="G7" s="7" t="s">
        <v>218</v>
      </c>
      <c r="H7" s="7" t="s">
        <v>219</v>
      </c>
      <c r="I7" s="7" t="s">
        <v>220</v>
      </c>
      <c r="J7" s="6" t="s">
        <v>127</v>
      </c>
      <c r="K7" s="6">
        <v>350000</v>
      </c>
      <c r="L7" s="6" t="s">
        <v>128</v>
      </c>
      <c r="M7" s="6"/>
      <c r="N7" s="6">
        <v>25</v>
      </c>
      <c r="O7" s="6" t="s">
        <v>54</v>
      </c>
      <c r="P7" s="7" t="s">
        <v>221</v>
      </c>
      <c r="Q7" s="6" t="s">
        <v>222</v>
      </c>
      <c r="R7" s="6"/>
    </row>
    <row r="8" spans="1:18" ht="68" customHeight="1" x14ac:dyDescent="0.35">
      <c r="A8" s="6" t="s">
        <v>139</v>
      </c>
      <c r="B8" s="6" t="s">
        <v>130</v>
      </c>
      <c r="C8" s="6" t="s">
        <v>223</v>
      </c>
      <c r="D8" s="6" t="s">
        <v>204</v>
      </c>
      <c r="E8" s="6" t="s">
        <v>59</v>
      </c>
      <c r="F8" s="6" t="s">
        <v>132</v>
      </c>
      <c r="G8" s="7" t="s">
        <v>224</v>
      </c>
      <c r="H8" s="7" t="s">
        <v>225</v>
      </c>
      <c r="I8" s="7" t="s">
        <v>226</v>
      </c>
      <c r="J8" s="6" t="s">
        <v>137</v>
      </c>
      <c r="K8" s="6">
        <v>150000</v>
      </c>
      <c r="L8" s="6" t="s">
        <v>138</v>
      </c>
      <c r="M8" s="6"/>
      <c r="N8" s="6">
        <v>10</v>
      </c>
      <c r="O8" s="6" t="s">
        <v>54</v>
      </c>
      <c r="P8" s="7" t="s">
        <v>227</v>
      </c>
      <c r="Q8" s="6" t="s">
        <v>228</v>
      </c>
      <c r="R8" s="6"/>
    </row>
    <row r="9" spans="1:18" x14ac:dyDescent="0.3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spans="1:18" x14ac:dyDescent="0.3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 spans="1:18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spans="1:18" x14ac:dyDescent="0.3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 spans="1:18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spans="1:18" x14ac:dyDescent="0.3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 spans="1:18" x14ac:dyDescent="0.3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spans="1:18" x14ac:dyDescent="0.3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 spans="1:18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spans="1:18" x14ac:dyDescent="0.3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 spans="1:18" x14ac:dyDescent="0.3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spans="1:18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 spans="1:18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spans="1:18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spans="1:18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spans="1:18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 spans="1:18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spans="1:18" x14ac:dyDescent="0.3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spans="1:18" x14ac:dyDescent="0.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spans="1:18" x14ac:dyDescent="0.3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spans="1:18" x14ac:dyDescent="0.3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spans="1:18" x14ac:dyDescent="0.3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spans="1:18" x14ac:dyDescent="0.3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spans="1:18" x14ac:dyDescent="0.3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spans="1:18" x14ac:dyDescent="0.3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spans="1:18" x14ac:dyDescent="0.3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spans="1:18" x14ac:dyDescent="0.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</row>
    <row r="36" spans="1:18" x14ac:dyDescent="0.3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</row>
    <row r="37" spans="1:18" x14ac:dyDescent="0.3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</row>
    <row r="38" spans="1:18" x14ac:dyDescent="0.3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</row>
    <row r="39" spans="1:18" x14ac:dyDescent="0.3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</row>
    <row r="40" spans="1:18" x14ac:dyDescent="0.3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</row>
    <row r="41" spans="1:18" x14ac:dyDescent="0.3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</row>
    <row r="42" spans="1:18" x14ac:dyDescent="0.3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</row>
    <row r="43" spans="1:18" x14ac:dyDescent="0.3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</row>
    <row r="44" spans="1:18" x14ac:dyDescent="0.3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</row>
    <row r="45" spans="1:18" x14ac:dyDescent="0.3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</row>
    <row r="46" spans="1:18" x14ac:dyDescent="0.3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</row>
    <row r="47" spans="1:18" x14ac:dyDescent="0.3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</row>
    <row r="48" spans="1:18" x14ac:dyDescent="0.3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</row>
    <row r="49" spans="1:18" x14ac:dyDescent="0.3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</row>
  </sheetData>
  <mergeCells count="2">
    <mergeCell ref="A2:R2"/>
    <mergeCell ref="A1:R1"/>
  </mergeCells>
  <conditionalFormatting sqref="N4:N50">
    <cfRule type="colorScale" priority="1">
      <colorScale>
        <cfvo type="num" val="0"/>
        <cfvo type="num" val="50"/>
        <cfvo type="num" val="100"/>
        <color rgb="FFB0413E"/>
        <color rgb="FFE0A23A"/>
        <color rgb="FF2E7D5B"/>
      </colorScale>
    </cfRule>
  </conditionalFormatting>
  <conditionalFormatting sqref="O4:O50">
    <cfRule type="cellIs" dxfId="6" priority="2" operator="equal">
      <formula>"Overdue"</formula>
    </cfRule>
    <cfRule type="cellIs" dxfId="5" priority="3" operator="equal">
      <formula>"Closed"</formula>
    </cfRule>
  </conditionalFormatting>
  <dataValidations count="5">
    <dataValidation type="list" allowBlank="1" sqref="D4:D50" xr:uid="{00000000-0002-0000-0400-000000000000}">
      <formula1>"Correction,Corrective,Preventive,Corrective + Preventive,Improvement"</formula1>
    </dataValidation>
    <dataValidation type="list" allowBlank="1" sqref="E4:E50" xr:uid="{00000000-0002-0000-0400-000001000000}">
      <formula1>"ISO 9001,ISO 14001,ISO 45001,Integrated"</formula1>
    </dataValidation>
    <dataValidation type="list" allowBlank="1" sqref="O4:O50" xr:uid="{00000000-0002-0000-0400-000002000000}">
      <formula1>"Open,In Progress,Pending Verification,Closed,Cancelled,Overdue"</formula1>
    </dataValidation>
    <dataValidation type="list" allowBlank="1" sqref="R4:R50" xr:uid="{00000000-0002-0000-0400-000003000000}">
      <formula1>"Yes,No,Partial,Pending"</formula1>
    </dataValidation>
    <dataValidation type="whole" allowBlank="1" sqref="N4:N50" xr:uid="{00000000-0002-0000-0400-000004000000}">
      <formula1>0</formula1>
      <formula2>100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9"/>
  <sheetViews>
    <sheetView showGridLines="0" topLeftCell="C1" workbookViewId="0">
      <pane ySplit="3" topLeftCell="A4" activePane="bottomLeft" state="frozen"/>
      <selection pane="bottomLeft" sqref="A1:M1"/>
    </sheetView>
  </sheetViews>
  <sheetFormatPr defaultRowHeight="14.5" x14ac:dyDescent="0.35"/>
  <cols>
    <col min="1" max="1" width="10" customWidth="1"/>
    <col min="2" max="2" width="13" customWidth="1"/>
    <col min="3" max="3" width="16" customWidth="1"/>
    <col min="4" max="4" width="22" customWidth="1"/>
    <col min="5" max="5" width="32" customWidth="1"/>
    <col min="6" max="6" width="14" customWidth="1"/>
    <col min="7" max="9" width="12" customWidth="1"/>
    <col min="10" max="10" width="16" customWidth="1"/>
    <col min="11" max="11" width="30" customWidth="1"/>
    <col min="12" max="12" width="18" customWidth="1"/>
    <col min="13" max="13" width="12" customWidth="1"/>
  </cols>
  <sheetData>
    <row r="1" spans="1:13" ht="30" customHeight="1" x14ac:dyDescent="0.35">
      <c r="A1" s="40" t="s">
        <v>229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ht="22" customHeight="1" x14ac:dyDescent="0.35">
      <c r="A2" s="36" t="s">
        <v>230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ht="42" customHeight="1" x14ac:dyDescent="0.35">
      <c r="A3" s="3" t="s">
        <v>142</v>
      </c>
      <c r="B3" s="3" t="s">
        <v>231</v>
      </c>
      <c r="C3" s="3" t="s">
        <v>232</v>
      </c>
      <c r="D3" s="3" t="s">
        <v>233</v>
      </c>
      <c r="E3" s="3" t="s">
        <v>234</v>
      </c>
      <c r="F3" s="3" t="s">
        <v>235</v>
      </c>
      <c r="G3" s="3" t="s">
        <v>236</v>
      </c>
      <c r="H3" s="3" t="s">
        <v>237</v>
      </c>
      <c r="I3" s="3" t="s">
        <v>238</v>
      </c>
      <c r="J3" s="3" t="s">
        <v>239</v>
      </c>
      <c r="K3" s="3" t="s">
        <v>240</v>
      </c>
      <c r="L3" s="3" t="s">
        <v>241</v>
      </c>
      <c r="M3" s="3" t="s">
        <v>242</v>
      </c>
    </row>
    <row r="4" spans="1:13" ht="44" customHeight="1" x14ac:dyDescent="0.35">
      <c r="A4" s="6" t="s">
        <v>95</v>
      </c>
      <c r="B4" s="6" t="s">
        <v>243</v>
      </c>
      <c r="C4" s="6" t="s">
        <v>244</v>
      </c>
      <c r="D4" s="7" t="s">
        <v>245</v>
      </c>
      <c r="E4" s="7" t="s">
        <v>246</v>
      </c>
      <c r="F4" s="6" t="s">
        <v>96</v>
      </c>
      <c r="G4" s="6">
        <v>6</v>
      </c>
      <c r="H4" s="6">
        <v>0</v>
      </c>
      <c r="I4" s="15">
        <f>IFERROR((G4-H4)/G4,0)</f>
        <v>1</v>
      </c>
      <c r="J4" s="6" t="s">
        <v>247</v>
      </c>
      <c r="K4" s="7" t="s">
        <v>248</v>
      </c>
      <c r="L4" s="6" t="s">
        <v>202</v>
      </c>
      <c r="M4" s="6" t="s">
        <v>249</v>
      </c>
    </row>
    <row r="5" spans="1:13" ht="44" customHeight="1" x14ac:dyDescent="0.35">
      <c r="A5" s="6" t="s">
        <v>118</v>
      </c>
      <c r="B5" s="6" t="s">
        <v>250</v>
      </c>
      <c r="C5" s="6" t="s">
        <v>251</v>
      </c>
      <c r="D5" s="7" t="s">
        <v>252</v>
      </c>
      <c r="E5" s="7" t="s">
        <v>253</v>
      </c>
      <c r="F5" s="6" t="s">
        <v>96</v>
      </c>
      <c r="G5" s="6">
        <v>4</v>
      </c>
      <c r="H5" s="6">
        <v>0</v>
      </c>
      <c r="I5" s="15">
        <f>IFERROR((G5-H5)/G5,0)</f>
        <v>1</v>
      </c>
      <c r="J5" s="6" t="s">
        <v>247</v>
      </c>
      <c r="K5" s="7" t="s">
        <v>254</v>
      </c>
      <c r="L5" s="6" t="s">
        <v>255</v>
      </c>
      <c r="M5" s="6" t="s">
        <v>256</v>
      </c>
    </row>
    <row r="6" spans="1:13" x14ac:dyDescent="0.35">
      <c r="A6" s="8"/>
      <c r="B6" s="8"/>
      <c r="C6" s="8"/>
      <c r="D6" s="8"/>
      <c r="E6" s="8"/>
      <c r="F6" s="8"/>
      <c r="G6" s="8"/>
      <c r="H6" s="8"/>
      <c r="I6" s="16" t="str">
        <f t="shared" ref="I6:I39" si="0">IFERROR((G6-H6)/G6,"")</f>
        <v/>
      </c>
      <c r="J6" s="8"/>
      <c r="K6" s="8"/>
      <c r="L6" s="8"/>
      <c r="M6" s="8"/>
    </row>
    <row r="7" spans="1:13" x14ac:dyDescent="0.35">
      <c r="A7" s="8"/>
      <c r="B7" s="8"/>
      <c r="C7" s="8"/>
      <c r="D7" s="8"/>
      <c r="E7" s="8"/>
      <c r="F7" s="8"/>
      <c r="G7" s="8"/>
      <c r="H7" s="8"/>
      <c r="I7" s="16" t="str">
        <f t="shared" si="0"/>
        <v/>
      </c>
      <c r="J7" s="8"/>
      <c r="K7" s="8"/>
      <c r="L7" s="8"/>
      <c r="M7" s="8"/>
    </row>
    <row r="8" spans="1:13" x14ac:dyDescent="0.35">
      <c r="A8" s="8"/>
      <c r="B8" s="8"/>
      <c r="C8" s="8"/>
      <c r="D8" s="8"/>
      <c r="E8" s="8"/>
      <c r="F8" s="8"/>
      <c r="G8" s="8"/>
      <c r="H8" s="8"/>
      <c r="I8" s="16" t="str">
        <f t="shared" si="0"/>
        <v/>
      </c>
      <c r="J8" s="8"/>
      <c r="K8" s="8"/>
      <c r="L8" s="8"/>
      <c r="M8" s="8"/>
    </row>
    <row r="9" spans="1:13" x14ac:dyDescent="0.35">
      <c r="A9" s="8"/>
      <c r="B9" s="8"/>
      <c r="C9" s="8"/>
      <c r="D9" s="8"/>
      <c r="E9" s="8"/>
      <c r="F9" s="8"/>
      <c r="G9" s="8"/>
      <c r="H9" s="8"/>
      <c r="I9" s="16" t="str">
        <f t="shared" si="0"/>
        <v/>
      </c>
      <c r="J9" s="8"/>
      <c r="K9" s="8"/>
      <c r="L9" s="8"/>
      <c r="M9" s="8"/>
    </row>
    <row r="10" spans="1:13" x14ac:dyDescent="0.35">
      <c r="A10" s="8"/>
      <c r="B10" s="8"/>
      <c r="C10" s="8"/>
      <c r="D10" s="8"/>
      <c r="E10" s="8"/>
      <c r="F10" s="8"/>
      <c r="G10" s="8"/>
      <c r="H10" s="8"/>
      <c r="I10" s="16" t="str">
        <f t="shared" si="0"/>
        <v/>
      </c>
      <c r="J10" s="8"/>
      <c r="K10" s="8"/>
      <c r="L10" s="8"/>
      <c r="M10" s="8"/>
    </row>
    <row r="11" spans="1:13" x14ac:dyDescent="0.35">
      <c r="A11" s="8"/>
      <c r="B11" s="8"/>
      <c r="C11" s="8"/>
      <c r="D11" s="8"/>
      <c r="E11" s="8"/>
      <c r="F11" s="8"/>
      <c r="G11" s="8"/>
      <c r="H11" s="8"/>
      <c r="I11" s="16" t="str">
        <f t="shared" si="0"/>
        <v/>
      </c>
      <c r="J11" s="8"/>
      <c r="K11" s="8"/>
      <c r="L11" s="8"/>
      <c r="M11" s="8"/>
    </row>
    <row r="12" spans="1:13" x14ac:dyDescent="0.35">
      <c r="A12" s="8"/>
      <c r="B12" s="8"/>
      <c r="C12" s="8"/>
      <c r="D12" s="8"/>
      <c r="E12" s="8"/>
      <c r="F12" s="8"/>
      <c r="G12" s="8"/>
      <c r="H12" s="8"/>
      <c r="I12" s="16" t="str">
        <f t="shared" si="0"/>
        <v/>
      </c>
      <c r="J12" s="8"/>
      <c r="K12" s="8"/>
      <c r="L12" s="8"/>
      <c r="M12" s="8"/>
    </row>
    <row r="13" spans="1:13" x14ac:dyDescent="0.35">
      <c r="A13" s="8"/>
      <c r="B13" s="8"/>
      <c r="C13" s="8"/>
      <c r="D13" s="8"/>
      <c r="E13" s="8"/>
      <c r="F13" s="8"/>
      <c r="G13" s="8"/>
      <c r="H13" s="8"/>
      <c r="I13" s="16" t="str">
        <f t="shared" si="0"/>
        <v/>
      </c>
      <c r="J13" s="8"/>
      <c r="K13" s="8"/>
      <c r="L13" s="8"/>
      <c r="M13" s="8"/>
    </row>
    <row r="14" spans="1:13" x14ac:dyDescent="0.35">
      <c r="A14" s="8"/>
      <c r="B14" s="8"/>
      <c r="C14" s="8"/>
      <c r="D14" s="8"/>
      <c r="E14" s="8"/>
      <c r="F14" s="8"/>
      <c r="G14" s="8"/>
      <c r="H14" s="8"/>
      <c r="I14" s="16" t="str">
        <f t="shared" si="0"/>
        <v/>
      </c>
      <c r="J14" s="8"/>
      <c r="K14" s="8"/>
      <c r="L14" s="8"/>
      <c r="M14" s="8"/>
    </row>
    <row r="15" spans="1:13" x14ac:dyDescent="0.35">
      <c r="A15" s="8"/>
      <c r="B15" s="8"/>
      <c r="C15" s="8"/>
      <c r="D15" s="8"/>
      <c r="E15" s="8"/>
      <c r="F15" s="8"/>
      <c r="G15" s="8"/>
      <c r="H15" s="8"/>
      <c r="I15" s="16" t="str">
        <f t="shared" si="0"/>
        <v/>
      </c>
      <c r="J15" s="8"/>
      <c r="K15" s="8"/>
      <c r="L15" s="8"/>
      <c r="M15" s="8"/>
    </row>
    <row r="16" spans="1:13" x14ac:dyDescent="0.35">
      <c r="A16" s="8"/>
      <c r="B16" s="8"/>
      <c r="C16" s="8"/>
      <c r="D16" s="8"/>
      <c r="E16" s="8"/>
      <c r="F16" s="8"/>
      <c r="G16" s="8"/>
      <c r="H16" s="8"/>
      <c r="I16" s="16" t="str">
        <f t="shared" si="0"/>
        <v/>
      </c>
      <c r="J16" s="8"/>
      <c r="K16" s="8"/>
      <c r="L16" s="8"/>
      <c r="M16" s="8"/>
    </row>
    <row r="17" spans="1:13" x14ac:dyDescent="0.35">
      <c r="A17" s="8"/>
      <c r="B17" s="8"/>
      <c r="C17" s="8"/>
      <c r="D17" s="8"/>
      <c r="E17" s="8"/>
      <c r="F17" s="8"/>
      <c r="G17" s="8"/>
      <c r="H17" s="8"/>
      <c r="I17" s="16" t="str">
        <f t="shared" si="0"/>
        <v/>
      </c>
      <c r="J17" s="8"/>
      <c r="K17" s="8"/>
      <c r="L17" s="8"/>
      <c r="M17" s="8"/>
    </row>
    <row r="18" spans="1:13" x14ac:dyDescent="0.35">
      <c r="A18" s="8"/>
      <c r="B18" s="8"/>
      <c r="C18" s="8"/>
      <c r="D18" s="8"/>
      <c r="E18" s="8"/>
      <c r="F18" s="8"/>
      <c r="G18" s="8"/>
      <c r="H18" s="8"/>
      <c r="I18" s="16" t="str">
        <f t="shared" si="0"/>
        <v/>
      </c>
      <c r="J18" s="8"/>
      <c r="K18" s="8"/>
      <c r="L18" s="8"/>
      <c r="M18" s="8"/>
    </row>
    <row r="19" spans="1:13" x14ac:dyDescent="0.35">
      <c r="A19" s="8"/>
      <c r="B19" s="8"/>
      <c r="C19" s="8"/>
      <c r="D19" s="8"/>
      <c r="E19" s="8"/>
      <c r="F19" s="8"/>
      <c r="G19" s="8"/>
      <c r="H19" s="8"/>
      <c r="I19" s="16" t="str">
        <f t="shared" si="0"/>
        <v/>
      </c>
      <c r="J19" s="8"/>
      <c r="K19" s="8"/>
      <c r="L19" s="8"/>
      <c r="M19" s="8"/>
    </row>
    <row r="20" spans="1:13" x14ac:dyDescent="0.35">
      <c r="A20" s="8"/>
      <c r="B20" s="8"/>
      <c r="C20" s="8"/>
      <c r="D20" s="8"/>
      <c r="E20" s="8"/>
      <c r="F20" s="8"/>
      <c r="G20" s="8"/>
      <c r="H20" s="8"/>
      <c r="I20" s="16" t="str">
        <f t="shared" si="0"/>
        <v/>
      </c>
      <c r="J20" s="8"/>
      <c r="K20" s="8"/>
      <c r="L20" s="8"/>
      <c r="M20" s="8"/>
    </row>
    <row r="21" spans="1:13" x14ac:dyDescent="0.35">
      <c r="A21" s="8"/>
      <c r="B21" s="8"/>
      <c r="C21" s="8"/>
      <c r="D21" s="8"/>
      <c r="E21" s="8"/>
      <c r="F21" s="8"/>
      <c r="G21" s="8"/>
      <c r="H21" s="8"/>
      <c r="I21" s="16" t="str">
        <f t="shared" si="0"/>
        <v/>
      </c>
      <c r="J21" s="8"/>
      <c r="K21" s="8"/>
      <c r="L21" s="8"/>
      <c r="M21" s="8"/>
    </row>
    <row r="22" spans="1:13" x14ac:dyDescent="0.35">
      <c r="A22" s="8"/>
      <c r="B22" s="8"/>
      <c r="C22" s="8"/>
      <c r="D22" s="8"/>
      <c r="E22" s="8"/>
      <c r="F22" s="8"/>
      <c r="G22" s="8"/>
      <c r="H22" s="8"/>
      <c r="I22" s="16" t="str">
        <f t="shared" si="0"/>
        <v/>
      </c>
      <c r="J22" s="8"/>
      <c r="K22" s="8"/>
      <c r="L22" s="8"/>
      <c r="M22" s="8"/>
    </row>
    <row r="23" spans="1:13" x14ac:dyDescent="0.35">
      <c r="A23" s="8"/>
      <c r="B23" s="8"/>
      <c r="C23" s="8"/>
      <c r="D23" s="8"/>
      <c r="E23" s="8"/>
      <c r="F23" s="8"/>
      <c r="G23" s="8"/>
      <c r="H23" s="8"/>
      <c r="I23" s="16" t="str">
        <f t="shared" si="0"/>
        <v/>
      </c>
      <c r="J23" s="8"/>
      <c r="K23" s="8"/>
      <c r="L23" s="8"/>
      <c r="M23" s="8"/>
    </row>
    <row r="24" spans="1:13" x14ac:dyDescent="0.35">
      <c r="A24" s="8"/>
      <c r="B24" s="8"/>
      <c r="C24" s="8"/>
      <c r="D24" s="8"/>
      <c r="E24" s="8"/>
      <c r="F24" s="8"/>
      <c r="G24" s="8"/>
      <c r="H24" s="8"/>
      <c r="I24" s="16" t="str">
        <f t="shared" si="0"/>
        <v/>
      </c>
      <c r="J24" s="8"/>
      <c r="K24" s="8"/>
      <c r="L24" s="8"/>
      <c r="M24" s="8"/>
    </row>
    <row r="25" spans="1:13" x14ac:dyDescent="0.35">
      <c r="A25" s="8"/>
      <c r="B25" s="8"/>
      <c r="C25" s="8"/>
      <c r="D25" s="8"/>
      <c r="E25" s="8"/>
      <c r="F25" s="8"/>
      <c r="G25" s="8"/>
      <c r="H25" s="8"/>
      <c r="I25" s="16" t="str">
        <f t="shared" si="0"/>
        <v/>
      </c>
      <c r="J25" s="8"/>
      <c r="K25" s="8"/>
      <c r="L25" s="8"/>
      <c r="M25" s="8"/>
    </row>
    <row r="26" spans="1:13" x14ac:dyDescent="0.35">
      <c r="A26" s="8"/>
      <c r="B26" s="8"/>
      <c r="C26" s="8"/>
      <c r="D26" s="8"/>
      <c r="E26" s="8"/>
      <c r="F26" s="8"/>
      <c r="G26" s="8"/>
      <c r="H26" s="8"/>
      <c r="I26" s="16" t="str">
        <f t="shared" si="0"/>
        <v/>
      </c>
      <c r="J26" s="8"/>
      <c r="K26" s="8"/>
      <c r="L26" s="8"/>
      <c r="M26" s="8"/>
    </row>
    <row r="27" spans="1:13" x14ac:dyDescent="0.35">
      <c r="A27" s="8"/>
      <c r="B27" s="8"/>
      <c r="C27" s="8"/>
      <c r="D27" s="8"/>
      <c r="E27" s="8"/>
      <c r="F27" s="8"/>
      <c r="G27" s="8"/>
      <c r="H27" s="8"/>
      <c r="I27" s="16" t="str">
        <f t="shared" si="0"/>
        <v/>
      </c>
      <c r="J27" s="8"/>
      <c r="K27" s="8"/>
      <c r="L27" s="8"/>
      <c r="M27" s="8"/>
    </row>
    <row r="28" spans="1:13" x14ac:dyDescent="0.35">
      <c r="A28" s="8"/>
      <c r="B28" s="8"/>
      <c r="C28" s="8"/>
      <c r="D28" s="8"/>
      <c r="E28" s="8"/>
      <c r="F28" s="8"/>
      <c r="G28" s="8"/>
      <c r="H28" s="8"/>
      <c r="I28" s="16" t="str">
        <f t="shared" si="0"/>
        <v/>
      </c>
      <c r="J28" s="8"/>
      <c r="K28" s="8"/>
      <c r="L28" s="8"/>
      <c r="M28" s="8"/>
    </row>
    <row r="29" spans="1:13" x14ac:dyDescent="0.35">
      <c r="A29" s="8"/>
      <c r="B29" s="8"/>
      <c r="C29" s="8"/>
      <c r="D29" s="8"/>
      <c r="E29" s="8"/>
      <c r="F29" s="8"/>
      <c r="G29" s="8"/>
      <c r="H29" s="8"/>
      <c r="I29" s="16" t="str">
        <f t="shared" si="0"/>
        <v/>
      </c>
      <c r="J29" s="8"/>
      <c r="K29" s="8"/>
      <c r="L29" s="8"/>
      <c r="M29" s="8"/>
    </row>
    <row r="30" spans="1:13" x14ac:dyDescent="0.35">
      <c r="A30" s="8"/>
      <c r="B30" s="8"/>
      <c r="C30" s="8"/>
      <c r="D30" s="8"/>
      <c r="E30" s="8"/>
      <c r="F30" s="8"/>
      <c r="G30" s="8"/>
      <c r="H30" s="8"/>
      <c r="I30" s="16" t="str">
        <f t="shared" si="0"/>
        <v/>
      </c>
      <c r="J30" s="8"/>
      <c r="K30" s="8"/>
      <c r="L30" s="8"/>
      <c r="M30" s="8"/>
    </row>
    <row r="31" spans="1:13" x14ac:dyDescent="0.35">
      <c r="A31" s="8"/>
      <c r="B31" s="8"/>
      <c r="C31" s="8"/>
      <c r="D31" s="8"/>
      <c r="E31" s="8"/>
      <c r="F31" s="8"/>
      <c r="G31" s="8"/>
      <c r="H31" s="8"/>
      <c r="I31" s="16" t="str">
        <f t="shared" si="0"/>
        <v/>
      </c>
      <c r="J31" s="8"/>
      <c r="K31" s="8"/>
      <c r="L31" s="8"/>
      <c r="M31" s="8"/>
    </row>
    <row r="32" spans="1:13" x14ac:dyDescent="0.35">
      <c r="A32" s="8"/>
      <c r="B32" s="8"/>
      <c r="C32" s="8"/>
      <c r="D32" s="8"/>
      <c r="E32" s="8"/>
      <c r="F32" s="8"/>
      <c r="G32" s="8"/>
      <c r="H32" s="8"/>
      <c r="I32" s="16" t="str">
        <f t="shared" si="0"/>
        <v/>
      </c>
      <c r="J32" s="8"/>
      <c r="K32" s="8"/>
      <c r="L32" s="8"/>
      <c r="M32" s="8"/>
    </row>
    <row r="33" spans="1:13" x14ac:dyDescent="0.35">
      <c r="A33" s="8"/>
      <c r="B33" s="8"/>
      <c r="C33" s="8"/>
      <c r="D33" s="8"/>
      <c r="E33" s="8"/>
      <c r="F33" s="8"/>
      <c r="G33" s="8"/>
      <c r="H33" s="8"/>
      <c r="I33" s="16" t="str">
        <f t="shared" si="0"/>
        <v/>
      </c>
      <c r="J33" s="8"/>
      <c r="K33" s="8"/>
      <c r="L33" s="8"/>
      <c r="M33" s="8"/>
    </row>
    <row r="34" spans="1:13" x14ac:dyDescent="0.35">
      <c r="A34" s="8"/>
      <c r="B34" s="8"/>
      <c r="C34" s="8"/>
      <c r="D34" s="8"/>
      <c r="E34" s="8"/>
      <c r="F34" s="8"/>
      <c r="G34" s="8"/>
      <c r="H34" s="8"/>
      <c r="I34" s="16" t="str">
        <f t="shared" si="0"/>
        <v/>
      </c>
      <c r="J34" s="8"/>
      <c r="K34" s="8"/>
      <c r="L34" s="8"/>
      <c r="M34" s="8"/>
    </row>
    <row r="35" spans="1:13" x14ac:dyDescent="0.35">
      <c r="A35" s="8"/>
      <c r="B35" s="8"/>
      <c r="C35" s="8"/>
      <c r="D35" s="8"/>
      <c r="E35" s="8"/>
      <c r="F35" s="8"/>
      <c r="G35" s="8"/>
      <c r="H35" s="8"/>
      <c r="I35" s="16" t="str">
        <f t="shared" si="0"/>
        <v/>
      </c>
      <c r="J35" s="8"/>
      <c r="K35" s="8"/>
      <c r="L35" s="8"/>
      <c r="M35" s="8"/>
    </row>
    <row r="36" spans="1:13" x14ac:dyDescent="0.35">
      <c r="A36" s="8"/>
      <c r="B36" s="8"/>
      <c r="C36" s="8"/>
      <c r="D36" s="8"/>
      <c r="E36" s="8"/>
      <c r="F36" s="8"/>
      <c r="G36" s="8"/>
      <c r="H36" s="8"/>
      <c r="I36" s="16" t="str">
        <f t="shared" si="0"/>
        <v/>
      </c>
      <c r="J36" s="8"/>
      <c r="K36" s="8"/>
      <c r="L36" s="8"/>
      <c r="M36" s="8"/>
    </row>
    <row r="37" spans="1:13" x14ac:dyDescent="0.35">
      <c r="A37" s="8"/>
      <c r="B37" s="8"/>
      <c r="C37" s="8"/>
      <c r="D37" s="8"/>
      <c r="E37" s="8"/>
      <c r="F37" s="8"/>
      <c r="G37" s="8"/>
      <c r="H37" s="8"/>
      <c r="I37" s="16" t="str">
        <f t="shared" si="0"/>
        <v/>
      </c>
      <c r="J37" s="8"/>
      <c r="K37" s="8"/>
      <c r="L37" s="8"/>
      <c r="M37" s="8"/>
    </row>
    <row r="38" spans="1:13" x14ac:dyDescent="0.35">
      <c r="A38" s="8"/>
      <c r="B38" s="8"/>
      <c r="C38" s="8"/>
      <c r="D38" s="8"/>
      <c r="E38" s="8"/>
      <c r="F38" s="8"/>
      <c r="G38" s="8"/>
      <c r="H38" s="8"/>
      <c r="I38" s="16" t="str">
        <f t="shared" si="0"/>
        <v/>
      </c>
      <c r="J38" s="8"/>
      <c r="K38" s="8"/>
      <c r="L38" s="8"/>
      <c r="M38" s="8"/>
    </row>
    <row r="39" spans="1:13" x14ac:dyDescent="0.35">
      <c r="A39" s="8"/>
      <c r="B39" s="8"/>
      <c r="C39" s="8"/>
      <c r="D39" s="8"/>
      <c r="E39" s="8"/>
      <c r="F39" s="8"/>
      <c r="G39" s="8"/>
      <c r="H39" s="8"/>
      <c r="I39" s="16" t="str">
        <f t="shared" si="0"/>
        <v/>
      </c>
      <c r="J39" s="8"/>
      <c r="K39" s="8"/>
      <c r="L39" s="8"/>
      <c r="M39" s="8"/>
    </row>
  </sheetData>
  <mergeCells count="2">
    <mergeCell ref="A2:M2"/>
    <mergeCell ref="A1:M1"/>
  </mergeCells>
  <conditionalFormatting sqref="J4:J40">
    <cfRule type="cellIs" dxfId="4" priority="1" operator="equal">
      <formula>"Not Effective"</formula>
    </cfRule>
    <cfRule type="cellIs" dxfId="3" priority="2" operator="equal">
      <formula>"Effective"</formula>
    </cfRule>
  </conditionalFormatting>
  <dataValidations count="2">
    <dataValidation type="list" allowBlank="1" sqref="J4:J40" xr:uid="{00000000-0002-0000-0500-000000000000}">
      <formula1>"Effective,Partially Effective,Not Effective,Pending Re-verification"</formula1>
    </dataValidation>
    <dataValidation type="list" allowBlank="1" sqref="F4:F40" xr:uid="{00000000-0002-0000-0500-000001000000}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1"/>
  <sheetViews>
    <sheetView showGridLines="0" workbookViewId="0">
      <selection sqref="A1:I1"/>
    </sheetView>
  </sheetViews>
  <sheetFormatPr defaultRowHeight="14.5" x14ac:dyDescent="0.35"/>
  <cols>
    <col min="1" max="1" width="36" customWidth="1"/>
    <col min="2" max="2" width="12" customWidth="1"/>
    <col min="3" max="3" width="10" customWidth="1"/>
    <col min="4" max="4" width="16" customWidth="1"/>
    <col min="5" max="5" width="12" customWidth="1"/>
    <col min="6" max="6" width="14" customWidth="1"/>
    <col min="7" max="8" width="16" customWidth="1"/>
    <col min="9" max="9" width="32" customWidth="1"/>
  </cols>
  <sheetData>
    <row r="1" spans="1:9" ht="30" customHeight="1" x14ac:dyDescent="0.35">
      <c r="A1" s="40" t="s">
        <v>257</v>
      </c>
      <c r="B1" s="28"/>
      <c r="C1" s="28"/>
      <c r="D1" s="28"/>
      <c r="E1" s="28"/>
      <c r="F1" s="28"/>
      <c r="G1" s="28"/>
      <c r="H1" s="28"/>
      <c r="I1" s="28"/>
    </row>
    <row r="2" spans="1:9" ht="22" customHeight="1" x14ac:dyDescent="0.35">
      <c r="A2" s="36" t="s">
        <v>258</v>
      </c>
      <c r="B2" s="28"/>
      <c r="C2" s="28"/>
      <c r="D2" s="28"/>
      <c r="E2" s="28"/>
      <c r="F2" s="28"/>
      <c r="G2" s="28"/>
      <c r="H2" s="28"/>
      <c r="I2" s="28"/>
    </row>
    <row r="3" spans="1:9" ht="36" customHeight="1" x14ac:dyDescent="0.35">
      <c r="A3" s="3" t="s">
        <v>259</v>
      </c>
      <c r="B3" s="3" t="s">
        <v>53</v>
      </c>
      <c r="C3" s="3" t="s">
        <v>73</v>
      </c>
      <c r="D3" s="3" t="s">
        <v>260</v>
      </c>
      <c r="E3" s="3" t="s">
        <v>42</v>
      </c>
      <c r="F3" s="3" t="s">
        <v>261</v>
      </c>
      <c r="G3" s="3" t="s">
        <v>262</v>
      </c>
      <c r="H3" s="3" t="s">
        <v>263</v>
      </c>
      <c r="I3" s="3" t="s">
        <v>264</v>
      </c>
    </row>
    <row r="4" spans="1:9" ht="30" customHeight="1" x14ac:dyDescent="0.35">
      <c r="A4" s="17" t="s">
        <v>265</v>
      </c>
      <c r="B4" s="18" t="s">
        <v>56</v>
      </c>
      <c r="C4" s="18" t="s">
        <v>266</v>
      </c>
      <c r="D4" s="18">
        <v>4</v>
      </c>
      <c r="E4" s="18">
        <v>1</v>
      </c>
      <c r="F4" s="18" t="s">
        <v>86</v>
      </c>
      <c r="G4" s="18" t="s">
        <v>267</v>
      </c>
      <c r="H4" s="18" t="s">
        <v>268</v>
      </c>
      <c r="I4" s="17" t="s">
        <v>269</v>
      </c>
    </row>
    <row r="5" spans="1:9" ht="30" customHeight="1" x14ac:dyDescent="0.35">
      <c r="A5" s="17" t="s">
        <v>270</v>
      </c>
      <c r="B5" s="18" t="s">
        <v>62</v>
      </c>
      <c r="C5" s="18" t="s">
        <v>100</v>
      </c>
      <c r="D5" s="18">
        <v>3</v>
      </c>
      <c r="E5" s="18">
        <v>1</v>
      </c>
      <c r="F5" s="18" t="s">
        <v>98</v>
      </c>
      <c r="G5" s="18" t="s">
        <v>271</v>
      </c>
      <c r="H5" s="18" t="s">
        <v>268</v>
      </c>
      <c r="I5" s="17" t="s">
        <v>272</v>
      </c>
    </row>
    <row r="6" spans="1:9" ht="30" customHeight="1" x14ac:dyDescent="0.35">
      <c r="A6" s="17" t="s">
        <v>273</v>
      </c>
      <c r="B6" s="18" t="s">
        <v>56</v>
      </c>
      <c r="C6" s="18" t="s">
        <v>111</v>
      </c>
      <c r="D6" s="18">
        <v>2</v>
      </c>
      <c r="E6" s="18">
        <v>1</v>
      </c>
      <c r="F6" s="18" t="s">
        <v>110</v>
      </c>
      <c r="G6" s="18" t="s">
        <v>274</v>
      </c>
      <c r="H6" s="18" t="s">
        <v>275</v>
      </c>
      <c r="I6" s="17" t="s">
        <v>276</v>
      </c>
    </row>
    <row r="7" spans="1:9" ht="30" customHeight="1" x14ac:dyDescent="0.35">
      <c r="A7" s="17" t="s">
        <v>277</v>
      </c>
      <c r="B7" s="18" t="s">
        <v>59</v>
      </c>
      <c r="C7" s="18" t="s">
        <v>278</v>
      </c>
      <c r="D7" s="18">
        <v>3</v>
      </c>
      <c r="E7" s="18">
        <v>1</v>
      </c>
      <c r="F7" s="18" t="s">
        <v>120</v>
      </c>
      <c r="G7" s="18" t="s">
        <v>271</v>
      </c>
      <c r="H7" s="18" t="s">
        <v>275</v>
      </c>
      <c r="I7" s="17" t="s">
        <v>279</v>
      </c>
    </row>
    <row r="8" spans="1:9" ht="30" customHeight="1" x14ac:dyDescent="0.35">
      <c r="A8" s="17" t="s">
        <v>280</v>
      </c>
      <c r="B8" s="18" t="s">
        <v>59</v>
      </c>
      <c r="C8" s="18" t="s">
        <v>132</v>
      </c>
      <c r="D8" s="18">
        <v>2</v>
      </c>
      <c r="E8" s="18">
        <v>1</v>
      </c>
      <c r="F8" s="18" t="s">
        <v>131</v>
      </c>
      <c r="G8" s="18" t="s">
        <v>281</v>
      </c>
      <c r="H8" s="18" t="s">
        <v>275</v>
      </c>
      <c r="I8" s="17" t="s">
        <v>282</v>
      </c>
    </row>
    <row r="9" spans="1:9" ht="30" customHeight="1" x14ac:dyDescent="0.35">
      <c r="A9" s="17" t="s">
        <v>283</v>
      </c>
      <c r="B9" s="18" t="s">
        <v>62</v>
      </c>
      <c r="C9" s="18" t="s">
        <v>122</v>
      </c>
      <c r="D9" s="18">
        <v>5</v>
      </c>
      <c r="E9" s="18">
        <v>0</v>
      </c>
      <c r="F9" s="18" t="s">
        <v>284</v>
      </c>
      <c r="G9" s="18" t="s">
        <v>271</v>
      </c>
      <c r="H9" s="18" t="s">
        <v>268</v>
      </c>
      <c r="I9" s="17" t="s">
        <v>285</v>
      </c>
    </row>
    <row r="10" spans="1:9" ht="30" customHeight="1" x14ac:dyDescent="0.35">
      <c r="A10" s="17" t="s">
        <v>286</v>
      </c>
      <c r="B10" s="18" t="s">
        <v>56</v>
      </c>
      <c r="C10" s="18" t="s">
        <v>287</v>
      </c>
      <c r="D10" s="18">
        <v>2</v>
      </c>
      <c r="E10" s="18">
        <v>0</v>
      </c>
      <c r="F10" s="18" t="s">
        <v>288</v>
      </c>
      <c r="G10" s="18" t="s">
        <v>274</v>
      </c>
      <c r="H10" s="18" t="s">
        <v>289</v>
      </c>
      <c r="I10" s="17" t="s">
        <v>290</v>
      </c>
    </row>
    <row r="13" spans="1:9" ht="22" customHeight="1" x14ac:dyDescent="0.35">
      <c r="A13" s="38" t="s">
        <v>291</v>
      </c>
      <c r="B13" s="28"/>
      <c r="C13" s="28"/>
      <c r="D13" s="28"/>
      <c r="E13" s="28"/>
      <c r="F13" s="28"/>
      <c r="G13" s="28"/>
      <c r="H13" s="28"/>
      <c r="I13" s="28"/>
    </row>
    <row r="14" spans="1:9" x14ac:dyDescent="0.35">
      <c r="A14" s="19" t="s">
        <v>160</v>
      </c>
      <c r="B14" s="19" t="s">
        <v>51</v>
      </c>
      <c r="C14" s="19" t="s">
        <v>292</v>
      </c>
    </row>
    <row r="15" spans="1:9" x14ac:dyDescent="0.35">
      <c r="A15" s="9" t="s">
        <v>283</v>
      </c>
      <c r="B15" s="5">
        <v>5</v>
      </c>
      <c r="C15" s="20">
        <v>0.23809523809523811</v>
      </c>
    </row>
    <row r="16" spans="1:9" x14ac:dyDescent="0.35">
      <c r="A16" s="9" t="s">
        <v>265</v>
      </c>
      <c r="B16" s="5">
        <v>4</v>
      </c>
      <c r="C16" s="20">
        <v>0.42857142857142849</v>
      </c>
    </row>
    <row r="17" spans="1:3" x14ac:dyDescent="0.35">
      <c r="A17" s="9" t="s">
        <v>270</v>
      </c>
      <c r="B17" s="5">
        <v>3</v>
      </c>
      <c r="C17" s="20">
        <v>0.5714285714285714</v>
      </c>
    </row>
    <row r="18" spans="1:3" x14ac:dyDescent="0.35">
      <c r="A18" s="9" t="s">
        <v>277</v>
      </c>
      <c r="B18" s="5">
        <v>3</v>
      </c>
      <c r="C18" s="20">
        <v>0.7142857142857143</v>
      </c>
    </row>
    <row r="19" spans="1:3" x14ac:dyDescent="0.35">
      <c r="A19" s="9" t="s">
        <v>273</v>
      </c>
      <c r="B19" s="5">
        <v>2</v>
      </c>
      <c r="C19" s="20">
        <v>0.80952380952380953</v>
      </c>
    </row>
    <row r="20" spans="1:3" x14ac:dyDescent="0.35">
      <c r="A20" s="9" t="s">
        <v>280</v>
      </c>
      <c r="B20" s="5">
        <v>2</v>
      </c>
      <c r="C20" s="20">
        <v>0.90476190476190477</v>
      </c>
    </row>
    <row r="21" spans="1:3" x14ac:dyDescent="0.35">
      <c r="A21" s="9" t="s">
        <v>286</v>
      </c>
      <c r="B21" s="5">
        <v>2</v>
      </c>
      <c r="C21" s="20">
        <v>1</v>
      </c>
    </row>
  </sheetData>
  <mergeCells count="3">
    <mergeCell ref="A1:I1"/>
    <mergeCell ref="A13:I13"/>
    <mergeCell ref="A2:I2"/>
  </mergeCells>
  <conditionalFormatting sqref="D4:D40">
    <cfRule type="colorScale" priority="1">
      <colorScale>
        <cfvo type="num" val="0"/>
        <cfvo type="num" val="3"/>
        <cfvo type="num" val="8"/>
        <color rgb="FF2E7D5B"/>
        <color rgb="FFE0A23A"/>
        <color rgb="FFB0413E"/>
      </colorScale>
    </cfRule>
  </conditionalFormatting>
  <conditionalFormatting sqref="H4:H40">
    <cfRule type="cellIs" dxfId="2" priority="2" operator="equal">
      <formula>"High"</formula>
    </cfRule>
    <cfRule type="cellIs" dxfId="1" priority="3" operator="equal">
      <formula>"Medium"</formula>
    </cfRule>
    <cfRule type="cellIs" dxfId="0" priority="4" operator="equal">
      <formula>"Low"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"/>
  <sheetViews>
    <sheetView showGridLines="0" workbookViewId="0">
      <selection sqref="A1:G1"/>
    </sheetView>
  </sheetViews>
  <sheetFormatPr defaultRowHeight="14.5" x14ac:dyDescent="0.35"/>
  <cols>
    <col min="1" max="1" width="10" customWidth="1"/>
    <col min="2" max="2" width="38" customWidth="1"/>
    <col min="3" max="5" width="12" customWidth="1"/>
    <col min="6" max="6" width="40" customWidth="1"/>
    <col min="7" max="7" width="28" customWidth="1"/>
  </cols>
  <sheetData>
    <row r="1" spans="1:7" ht="30" customHeight="1" x14ac:dyDescent="0.35">
      <c r="A1" s="40" t="s">
        <v>293</v>
      </c>
      <c r="B1" s="28"/>
      <c r="C1" s="28"/>
      <c r="D1" s="28"/>
      <c r="E1" s="28"/>
      <c r="F1" s="28"/>
      <c r="G1" s="28"/>
    </row>
    <row r="2" spans="1:7" ht="22" customHeight="1" x14ac:dyDescent="0.35">
      <c r="A2" s="36" t="s">
        <v>294</v>
      </c>
      <c r="B2" s="28"/>
      <c r="C2" s="28"/>
      <c r="D2" s="28"/>
      <c r="E2" s="28"/>
      <c r="F2" s="28"/>
      <c r="G2" s="28"/>
    </row>
    <row r="3" spans="1:7" ht="36" customHeight="1" x14ac:dyDescent="0.35">
      <c r="A3" s="3" t="s">
        <v>73</v>
      </c>
      <c r="B3" s="3" t="s">
        <v>295</v>
      </c>
      <c r="C3" s="3" t="s">
        <v>56</v>
      </c>
      <c r="D3" s="3" t="s">
        <v>59</v>
      </c>
      <c r="E3" s="3" t="s">
        <v>62</v>
      </c>
      <c r="F3" s="3" t="s">
        <v>296</v>
      </c>
      <c r="G3" s="3" t="s">
        <v>297</v>
      </c>
    </row>
    <row r="4" spans="1:7" ht="26" customHeight="1" x14ac:dyDescent="0.35">
      <c r="A4" s="18" t="s">
        <v>298</v>
      </c>
      <c r="B4" s="21" t="s">
        <v>299</v>
      </c>
      <c r="C4" s="22" t="s">
        <v>300</v>
      </c>
      <c r="D4" s="22" t="s">
        <v>300</v>
      </c>
      <c r="E4" s="22" t="s">
        <v>300</v>
      </c>
      <c r="F4" s="21" t="s">
        <v>301</v>
      </c>
      <c r="G4" s="21" t="s">
        <v>302</v>
      </c>
    </row>
    <row r="5" spans="1:7" ht="26" customHeight="1" x14ac:dyDescent="0.35">
      <c r="A5" s="18" t="s">
        <v>303</v>
      </c>
      <c r="B5" s="21" t="s">
        <v>304</v>
      </c>
      <c r="C5" s="22" t="s">
        <v>300</v>
      </c>
      <c r="D5" s="22" t="s">
        <v>300</v>
      </c>
      <c r="E5" s="22" t="s">
        <v>300</v>
      </c>
      <c r="F5" s="21" t="s">
        <v>305</v>
      </c>
      <c r="G5" s="21" t="s">
        <v>306</v>
      </c>
    </row>
    <row r="6" spans="1:7" ht="26" customHeight="1" x14ac:dyDescent="0.35">
      <c r="A6" s="18" t="s">
        <v>307</v>
      </c>
      <c r="B6" s="21" t="s">
        <v>308</v>
      </c>
      <c r="C6" s="22" t="s">
        <v>300</v>
      </c>
      <c r="D6" s="22" t="s">
        <v>300</v>
      </c>
      <c r="E6" s="22" t="s">
        <v>300</v>
      </c>
      <c r="F6" s="21" t="s">
        <v>309</v>
      </c>
      <c r="G6" s="21" t="s">
        <v>310</v>
      </c>
    </row>
    <row r="7" spans="1:7" ht="26" customHeight="1" x14ac:dyDescent="0.35">
      <c r="A7" s="18" t="s">
        <v>311</v>
      </c>
      <c r="B7" s="21" t="s">
        <v>312</v>
      </c>
      <c r="C7" s="22" t="s">
        <v>300</v>
      </c>
      <c r="D7" s="22" t="s">
        <v>300</v>
      </c>
      <c r="E7" s="22" t="s">
        <v>300</v>
      </c>
      <c r="F7" s="21" t="s">
        <v>313</v>
      </c>
      <c r="G7" s="21" t="s">
        <v>314</v>
      </c>
    </row>
    <row r="8" spans="1:7" ht="26" customHeight="1" x14ac:dyDescent="0.35">
      <c r="A8" s="18" t="s">
        <v>132</v>
      </c>
      <c r="B8" s="21" t="s">
        <v>315</v>
      </c>
      <c r="C8" s="18"/>
      <c r="D8" s="22" t="s">
        <v>300</v>
      </c>
      <c r="E8" s="18"/>
      <c r="F8" s="21" t="s">
        <v>316</v>
      </c>
      <c r="G8" s="21" t="s">
        <v>317</v>
      </c>
    </row>
    <row r="9" spans="1:7" ht="26" customHeight="1" x14ac:dyDescent="0.35">
      <c r="A9" s="18" t="s">
        <v>132</v>
      </c>
      <c r="B9" s="21" t="s">
        <v>318</v>
      </c>
      <c r="C9" s="18"/>
      <c r="D9" s="18"/>
      <c r="E9" s="22" t="s">
        <v>300</v>
      </c>
      <c r="F9" s="21" t="s">
        <v>319</v>
      </c>
      <c r="G9" s="21" t="s">
        <v>320</v>
      </c>
    </row>
    <row r="10" spans="1:7" ht="26" customHeight="1" x14ac:dyDescent="0.35">
      <c r="A10" s="18" t="s">
        <v>266</v>
      </c>
      <c r="B10" s="21" t="s">
        <v>321</v>
      </c>
      <c r="C10" s="22" t="s">
        <v>300</v>
      </c>
      <c r="D10" s="22" t="s">
        <v>300</v>
      </c>
      <c r="E10" s="22" t="s">
        <v>300</v>
      </c>
      <c r="F10" s="21" t="s">
        <v>265</v>
      </c>
      <c r="G10" s="21" t="s">
        <v>322</v>
      </c>
    </row>
    <row r="11" spans="1:7" ht="26" customHeight="1" x14ac:dyDescent="0.35">
      <c r="A11" s="18" t="s">
        <v>323</v>
      </c>
      <c r="B11" s="21" t="s">
        <v>324</v>
      </c>
      <c r="C11" s="22" t="s">
        <v>300</v>
      </c>
      <c r="D11" s="22" t="s">
        <v>300</v>
      </c>
      <c r="E11" s="22" t="s">
        <v>300</v>
      </c>
      <c r="F11" s="21" t="s">
        <v>325</v>
      </c>
      <c r="G11" s="21" t="s">
        <v>326</v>
      </c>
    </row>
    <row r="12" spans="1:7" ht="26" customHeight="1" x14ac:dyDescent="0.35">
      <c r="A12" s="18" t="s">
        <v>327</v>
      </c>
      <c r="B12" s="21" t="s">
        <v>328</v>
      </c>
      <c r="C12" s="22" t="s">
        <v>300</v>
      </c>
      <c r="D12" s="22" t="s">
        <v>300</v>
      </c>
      <c r="E12" s="22" t="s">
        <v>300</v>
      </c>
      <c r="F12" s="21" t="s">
        <v>329</v>
      </c>
      <c r="G12" s="21" t="s">
        <v>330</v>
      </c>
    </row>
    <row r="13" spans="1:7" ht="26" customHeight="1" x14ac:dyDescent="0.35">
      <c r="A13" s="18" t="s">
        <v>122</v>
      </c>
      <c r="B13" s="21" t="s">
        <v>331</v>
      </c>
      <c r="C13" s="22" t="s">
        <v>300</v>
      </c>
      <c r="D13" s="22" t="s">
        <v>300</v>
      </c>
      <c r="E13" s="22" t="s">
        <v>300</v>
      </c>
      <c r="F13" s="21" t="s">
        <v>332</v>
      </c>
      <c r="G13" s="21" t="s">
        <v>333</v>
      </c>
    </row>
    <row r="14" spans="1:7" ht="26" customHeight="1" x14ac:dyDescent="0.35">
      <c r="A14" s="18" t="s">
        <v>278</v>
      </c>
      <c r="B14" s="21" t="s">
        <v>334</v>
      </c>
      <c r="C14" s="18"/>
      <c r="D14" s="22" t="s">
        <v>300</v>
      </c>
      <c r="E14" s="22" t="s">
        <v>300</v>
      </c>
      <c r="F14" s="21" t="s">
        <v>335</v>
      </c>
      <c r="G14" s="21" t="s">
        <v>336</v>
      </c>
    </row>
    <row r="15" spans="1:7" ht="26" customHeight="1" x14ac:dyDescent="0.35">
      <c r="A15" s="18" t="s">
        <v>337</v>
      </c>
      <c r="B15" s="21" t="s">
        <v>338</v>
      </c>
      <c r="C15" s="22" t="s">
        <v>300</v>
      </c>
      <c r="D15" s="18"/>
      <c r="E15" s="18"/>
      <c r="F15" s="21" t="s">
        <v>339</v>
      </c>
      <c r="G15" s="21" t="s">
        <v>340</v>
      </c>
    </row>
    <row r="16" spans="1:7" ht="26" customHeight="1" x14ac:dyDescent="0.35">
      <c r="A16" s="18" t="s">
        <v>88</v>
      </c>
      <c r="B16" s="21" t="s">
        <v>341</v>
      </c>
      <c r="C16" s="22" t="s">
        <v>300</v>
      </c>
      <c r="D16" s="18"/>
      <c r="E16" s="18"/>
      <c r="F16" s="21" t="s">
        <v>342</v>
      </c>
      <c r="G16" s="21" t="s">
        <v>343</v>
      </c>
    </row>
    <row r="17" spans="1:7" ht="26" customHeight="1" x14ac:dyDescent="0.35">
      <c r="A17" s="18" t="s">
        <v>111</v>
      </c>
      <c r="B17" s="21" t="s">
        <v>344</v>
      </c>
      <c r="C17" s="22" t="s">
        <v>300</v>
      </c>
      <c r="D17" s="18"/>
      <c r="E17" s="18"/>
      <c r="F17" s="21" t="s">
        <v>345</v>
      </c>
      <c r="G17" s="21" t="s">
        <v>346</v>
      </c>
    </row>
    <row r="18" spans="1:7" ht="26" customHeight="1" x14ac:dyDescent="0.35">
      <c r="A18" s="18" t="s">
        <v>347</v>
      </c>
      <c r="B18" s="21" t="s">
        <v>348</v>
      </c>
      <c r="C18" s="22" t="s">
        <v>300</v>
      </c>
      <c r="D18" s="22" t="s">
        <v>300</v>
      </c>
      <c r="E18" s="22" t="s">
        <v>300</v>
      </c>
      <c r="F18" s="21" t="s">
        <v>349</v>
      </c>
      <c r="G18" s="21" t="s">
        <v>350</v>
      </c>
    </row>
    <row r="19" spans="1:7" ht="26" customHeight="1" x14ac:dyDescent="0.35">
      <c r="A19" s="18" t="s">
        <v>351</v>
      </c>
      <c r="B19" s="21" t="s">
        <v>352</v>
      </c>
      <c r="C19" s="22" t="s">
        <v>300</v>
      </c>
      <c r="D19" s="18"/>
      <c r="E19" s="18"/>
      <c r="F19" s="21" t="s">
        <v>353</v>
      </c>
      <c r="G19" s="21" t="s">
        <v>354</v>
      </c>
    </row>
    <row r="20" spans="1:7" ht="26" customHeight="1" x14ac:dyDescent="0.35">
      <c r="A20" s="18" t="s">
        <v>351</v>
      </c>
      <c r="B20" s="21" t="s">
        <v>355</v>
      </c>
      <c r="C20" s="18"/>
      <c r="D20" s="22" t="s">
        <v>300</v>
      </c>
      <c r="E20" s="22" t="s">
        <v>300</v>
      </c>
      <c r="F20" s="21" t="s">
        <v>356</v>
      </c>
      <c r="G20" s="21" t="s">
        <v>357</v>
      </c>
    </row>
    <row r="21" spans="1:7" ht="26" customHeight="1" x14ac:dyDescent="0.35">
      <c r="A21" s="18" t="s">
        <v>358</v>
      </c>
      <c r="B21" s="21" t="s">
        <v>359</v>
      </c>
      <c r="C21" s="22" t="s">
        <v>300</v>
      </c>
      <c r="D21" s="22" t="s">
        <v>300</v>
      </c>
      <c r="E21" s="22" t="s">
        <v>300</v>
      </c>
      <c r="F21" s="21" t="s">
        <v>360</v>
      </c>
      <c r="G21" s="21" t="s">
        <v>361</v>
      </c>
    </row>
    <row r="22" spans="1:7" ht="26" customHeight="1" x14ac:dyDescent="0.35">
      <c r="A22" s="18" t="s">
        <v>362</v>
      </c>
      <c r="B22" s="21" t="s">
        <v>363</v>
      </c>
      <c r="C22" s="22" t="s">
        <v>300</v>
      </c>
      <c r="D22" s="22" t="s">
        <v>300</v>
      </c>
      <c r="E22" s="22" t="s">
        <v>300</v>
      </c>
      <c r="F22" s="21" t="s">
        <v>364</v>
      </c>
      <c r="G22" s="21" t="s">
        <v>365</v>
      </c>
    </row>
    <row r="23" spans="1:7" ht="26" customHeight="1" x14ac:dyDescent="0.35">
      <c r="A23" s="18" t="s">
        <v>366</v>
      </c>
      <c r="B23" s="21" t="s">
        <v>367</v>
      </c>
      <c r="C23" s="22" t="s">
        <v>300</v>
      </c>
      <c r="D23" s="22" t="s">
        <v>300</v>
      </c>
      <c r="E23" s="22" t="s">
        <v>300</v>
      </c>
      <c r="F23" s="21" t="s">
        <v>368</v>
      </c>
      <c r="G23" s="21" t="s">
        <v>369</v>
      </c>
    </row>
    <row r="24" spans="1:7" ht="26" customHeight="1" x14ac:dyDescent="0.35">
      <c r="A24" s="18" t="s">
        <v>370</v>
      </c>
      <c r="B24" s="21" t="s">
        <v>371</v>
      </c>
      <c r="C24" s="22" t="s">
        <v>300</v>
      </c>
      <c r="D24" s="22" t="s">
        <v>300</v>
      </c>
      <c r="E24" s="22" t="s">
        <v>300</v>
      </c>
      <c r="F24" s="21" t="s">
        <v>372</v>
      </c>
      <c r="G24" s="21" t="s">
        <v>373</v>
      </c>
    </row>
    <row r="25" spans="1:7" ht="26" customHeight="1" x14ac:dyDescent="0.35">
      <c r="A25" s="18" t="s">
        <v>374</v>
      </c>
      <c r="B25" s="21" t="s">
        <v>375</v>
      </c>
      <c r="C25" s="22" t="s">
        <v>300</v>
      </c>
      <c r="D25" s="22" t="s">
        <v>300</v>
      </c>
      <c r="E25" s="22" t="s">
        <v>300</v>
      </c>
      <c r="F25" s="21" t="s">
        <v>376</v>
      </c>
      <c r="G25" s="21" t="s">
        <v>377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1"/>
  <sheetViews>
    <sheetView showGridLines="0" workbookViewId="0">
      <selection sqref="A1:H1"/>
    </sheetView>
  </sheetViews>
  <sheetFormatPr defaultRowHeight="14.5" x14ac:dyDescent="0.35"/>
  <cols>
    <col min="1" max="1" width="12" customWidth="1"/>
    <col min="2" max="2" width="22" customWidth="1"/>
    <col min="3" max="3" width="40" customWidth="1"/>
    <col min="4" max="5" width="18" customWidth="1"/>
    <col min="6" max="7" width="16" customWidth="1"/>
    <col min="8" max="8" width="18" customWidth="1"/>
  </cols>
  <sheetData>
    <row r="1" spans="1:8" ht="30" customHeight="1" x14ac:dyDescent="0.35">
      <c r="A1" s="40" t="s">
        <v>378</v>
      </c>
      <c r="B1" s="28"/>
      <c r="C1" s="28"/>
      <c r="D1" s="28"/>
      <c r="E1" s="28"/>
      <c r="F1" s="28"/>
      <c r="G1" s="28"/>
      <c r="H1" s="28"/>
    </row>
    <row r="2" spans="1:8" ht="22" customHeight="1" x14ac:dyDescent="0.35">
      <c r="A2" s="36" t="s">
        <v>379</v>
      </c>
      <c r="B2" s="28"/>
      <c r="C2" s="28"/>
      <c r="D2" s="28"/>
      <c r="E2" s="28"/>
      <c r="F2" s="28"/>
      <c r="G2" s="28"/>
      <c r="H2" s="28"/>
    </row>
    <row r="3" spans="1:8" ht="36" customHeight="1" x14ac:dyDescent="0.35">
      <c r="A3" s="3" t="s">
        <v>380</v>
      </c>
      <c r="B3" s="3" t="s">
        <v>160</v>
      </c>
      <c r="C3" s="3" t="s">
        <v>75</v>
      </c>
      <c r="D3" s="3" t="s">
        <v>381</v>
      </c>
      <c r="E3" s="3" t="s">
        <v>382</v>
      </c>
      <c r="F3" s="3" t="s">
        <v>383</v>
      </c>
      <c r="G3" s="3" t="s">
        <v>384</v>
      </c>
      <c r="H3" s="3" t="s">
        <v>385</v>
      </c>
    </row>
    <row r="4" spans="1:8" ht="30" customHeight="1" x14ac:dyDescent="0.35">
      <c r="A4" s="18" t="s">
        <v>95</v>
      </c>
      <c r="B4" s="18" t="s">
        <v>386</v>
      </c>
      <c r="C4" s="17" t="s">
        <v>387</v>
      </c>
      <c r="D4" s="23">
        <v>380000</v>
      </c>
      <c r="E4" s="23">
        <v>0</v>
      </c>
      <c r="F4" s="23">
        <v>40000</v>
      </c>
      <c r="G4" s="23">
        <v>450000</v>
      </c>
      <c r="H4" s="23">
        <f>SUM(D4:G4)</f>
        <v>870000</v>
      </c>
    </row>
    <row r="5" spans="1:8" ht="30" customHeight="1" x14ac:dyDescent="0.35">
      <c r="A5" s="18" t="s">
        <v>107</v>
      </c>
      <c r="B5" s="18" t="s">
        <v>388</v>
      </c>
      <c r="C5" s="17" t="s">
        <v>389</v>
      </c>
      <c r="D5" s="23">
        <v>0</v>
      </c>
      <c r="E5" s="23">
        <v>0</v>
      </c>
      <c r="F5" s="23">
        <v>0</v>
      </c>
      <c r="G5" s="23">
        <v>1200000</v>
      </c>
      <c r="H5" s="23">
        <f>SUM(D5:G5)</f>
        <v>1200000</v>
      </c>
    </row>
    <row r="6" spans="1:8" ht="30" customHeight="1" x14ac:dyDescent="0.35">
      <c r="A6" s="18" t="s">
        <v>118</v>
      </c>
      <c r="B6" s="18" t="s">
        <v>390</v>
      </c>
      <c r="C6" s="17" t="s">
        <v>391</v>
      </c>
      <c r="D6" s="23">
        <v>0</v>
      </c>
      <c r="E6" s="23">
        <v>1850000</v>
      </c>
      <c r="F6" s="23">
        <v>0</v>
      </c>
      <c r="G6" s="23">
        <v>2800000</v>
      </c>
      <c r="H6" s="23">
        <f>SUM(D6:G6)</f>
        <v>4650000</v>
      </c>
    </row>
    <row r="7" spans="1:8" ht="30" customHeight="1" x14ac:dyDescent="0.35">
      <c r="A7" s="18" t="s">
        <v>129</v>
      </c>
      <c r="B7" s="18" t="s">
        <v>386</v>
      </c>
      <c r="C7" s="17" t="s">
        <v>392</v>
      </c>
      <c r="D7" s="23">
        <v>120000</v>
      </c>
      <c r="E7" s="23">
        <v>0</v>
      </c>
      <c r="F7" s="23">
        <v>0</v>
      </c>
      <c r="G7" s="23">
        <v>350000</v>
      </c>
      <c r="H7" s="23">
        <f>SUM(D7:G7)</f>
        <v>470000</v>
      </c>
    </row>
    <row r="8" spans="1:8" ht="30" customHeight="1" x14ac:dyDescent="0.35">
      <c r="A8" s="18" t="s">
        <v>139</v>
      </c>
      <c r="B8" s="18" t="s">
        <v>388</v>
      </c>
      <c r="C8" s="17" t="s">
        <v>393</v>
      </c>
      <c r="D8" s="23">
        <v>0</v>
      </c>
      <c r="E8" s="23">
        <v>0</v>
      </c>
      <c r="F8" s="23">
        <v>0</v>
      </c>
      <c r="G8" s="23">
        <v>150000</v>
      </c>
      <c r="H8" s="23">
        <f>SUM(D8:G8)</f>
        <v>150000</v>
      </c>
    </row>
    <row r="9" spans="1:8" x14ac:dyDescent="0.35">
      <c r="A9" s="9"/>
      <c r="B9" s="9"/>
      <c r="C9" s="9"/>
      <c r="D9" s="24"/>
      <c r="E9" s="24"/>
      <c r="F9" s="24"/>
      <c r="G9" s="24"/>
      <c r="H9" s="24">
        <f t="shared" ref="H9:H29" si="0">IFERROR(SUM(D9:G9),"")</f>
        <v>0</v>
      </c>
    </row>
    <row r="10" spans="1:8" x14ac:dyDescent="0.35">
      <c r="A10" s="9"/>
      <c r="B10" s="9"/>
      <c r="C10" s="9"/>
      <c r="D10" s="24"/>
      <c r="E10" s="24"/>
      <c r="F10" s="24"/>
      <c r="G10" s="24"/>
      <c r="H10" s="24">
        <f t="shared" si="0"/>
        <v>0</v>
      </c>
    </row>
    <row r="11" spans="1:8" x14ac:dyDescent="0.35">
      <c r="A11" s="9"/>
      <c r="B11" s="9"/>
      <c r="C11" s="9"/>
      <c r="D11" s="24"/>
      <c r="E11" s="24"/>
      <c r="F11" s="24"/>
      <c r="G11" s="24"/>
      <c r="H11" s="24">
        <f t="shared" si="0"/>
        <v>0</v>
      </c>
    </row>
    <row r="12" spans="1:8" x14ac:dyDescent="0.35">
      <c r="A12" s="9"/>
      <c r="B12" s="9"/>
      <c r="C12" s="9"/>
      <c r="D12" s="24"/>
      <c r="E12" s="24"/>
      <c r="F12" s="24"/>
      <c r="G12" s="24"/>
      <c r="H12" s="24">
        <f t="shared" si="0"/>
        <v>0</v>
      </c>
    </row>
    <row r="13" spans="1:8" x14ac:dyDescent="0.35">
      <c r="A13" s="9"/>
      <c r="B13" s="9"/>
      <c r="C13" s="9"/>
      <c r="D13" s="24"/>
      <c r="E13" s="24"/>
      <c r="F13" s="24"/>
      <c r="G13" s="24"/>
      <c r="H13" s="24">
        <f t="shared" si="0"/>
        <v>0</v>
      </c>
    </row>
    <row r="14" spans="1:8" x14ac:dyDescent="0.35">
      <c r="A14" s="9"/>
      <c r="B14" s="9"/>
      <c r="C14" s="9"/>
      <c r="D14" s="24"/>
      <c r="E14" s="24"/>
      <c r="F14" s="24"/>
      <c r="G14" s="24"/>
      <c r="H14" s="24">
        <f t="shared" si="0"/>
        <v>0</v>
      </c>
    </row>
    <row r="15" spans="1:8" x14ac:dyDescent="0.35">
      <c r="A15" s="9"/>
      <c r="B15" s="9"/>
      <c r="C15" s="9"/>
      <c r="D15" s="24"/>
      <c r="E15" s="24"/>
      <c r="F15" s="24"/>
      <c r="G15" s="24"/>
      <c r="H15" s="24">
        <f t="shared" si="0"/>
        <v>0</v>
      </c>
    </row>
    <row r="16" spans="1:8" x14ac:dyDescent="0.35">
      <c r="A16" s="9"/>
      <c r="B16" s="9"/>
      <c r="C16" s="9"/>
      <c r="D16" s="24"/>
      <c r="E16" s="24"/>
      <c r="F16" s="24"/>
      <c r="G16" s="24"/>
      <c r="H16" s="24">
        <f t="shared" si="0"/>
        <v>0</v>
      </c>
    </row>
    <row r="17" spans="1:8" x14ac:dyDescent="0.35">
      <c r="A17" s="9"/>
      <c r="B17" s="9"/>
      <c r="C17" s="9"/>
      <c r="D17" s="24"/>
      <c r="E17" s="24"/>
      <c r="F17" s="24"/>
      <c r="G17" s="24"/>
      <c r="H17" s="24">
        <f t="shared" si="0"/>
        <v>0</v>
      </c>
    </row>
    <row r="18" spans="1:8" x14ac:dyDescent="0.35">
      <c r="A18" s="9"/>
      <c r="B18" s="9"/>
      <c r="C18" s="9"/>
      <c r="D18" s="24"/>
      <c r="E18" s="24"/>
      <c r="F18" s="24"/>
      <c r="G18" s="24"/>
      <c r="H18" s="24">
        <f t="shared" si="0"/>
        <v>0</v>
      </c>
    </row>
    <row r="19" spans="1:8" x14ac:dyDescent="0.35">
      <c r="A19" s="9"/>
      <c r="B19" s="9"/>
      <c r="C19" s="9"/>
      <c r="D19" s="24"/>
      <c r="E19" s="24"/>
      <c r="F19" s="24"/>
      <c r="G19" s="24"/>
      <c r="H19" s="24">
        <f t="shared" si="0"/>
        <v>0</v>
      </c>
    </row>
    <row r="20" spans="1:8" x14ac:dyDescent="0.35">
      <c r="A20" s="9"/>
      <c r="B20" s="9"/>
      <c r="C20" s="9"/>
      <c r="D20" s="24"/>
      <c r="E20" s="24"/>
      <c r="F20" s="24"/>
      <c r="G20" s="24"/>
      <c r="H20" s="24">
        <f t="shared" si="0"/>
        <v>0</v>
      </c>
    </row>
    <row r="21" spans="1:8" x14ac:dyDescent="0.35">
      <c r="A21" s="9"/>
      <c r="B21" s="9"/>
      <c r="C21" s="9"/>
      <c r="D21" s="24"/>
      <c r="E21" s="24"/>
      <c r="F21" s="24"/>
      <c r="G21" s="24"/>
      <c r="H21" s="24">
        <f t="shared" si="0"/>
        <v>0</v>
      </c>
    </row>
    <row r="22" spans="1:8" x14ac:dyDescent="0.35">
      <c r="A22" s="9"/>
      <c r="B22" s="9"/>
      <c r="C22" s="9"/>
      <c r="D22" s="24"/>
      <c r="E22" s="24"/>
      <c r="F22" s="24"/>
      <c r="G22" s="24"/>
      <c r="H22" s="24">
        <f t="shared" si="0"/>
        <v>0</v>
      </c>
    </row>
    <row r="23" spans="1:8" x14ac:dyDescent="0.35">
      <c r="A23" s="9"/>
      <c r="B23" s="9"/>
      <c r="C23" s="9"/>
      <c r="D23" s="24"/>
      <c r="E23" s="24"/>
      <c r="F23" s="24"/>
      <c r="G23" s="24"/>
      <c r="H23" s="24">
        <f t="shared" si="0"/>
        <v>0</v>
      </c>
    </row>
    <row r="24" spans="1:8" x14ac:dyDescent="0.35">
      <c r="A24" s="9"/>
      <c r="B24" s="9"/>
      <c r="C24" s="9"/>
      <c r="D24" s="24"/>
      <c r="E24" s="24"/>
      <c r="F24" s="24"/>
      <c r="G24" s="24"/>
      <c r="H24" s="24">
        <f t="shared" si="0"/>
        <v>0</v>
      </c>
    </row>
    <row r="25" spans="1:8" x14ac:dyDescent="0.35">
      <c r="A25" s="9"/>
      <c r="B25" s="9"/>
      <c r="C25" s="9"/>
      <c r="D25" s="24"/>
      <c r="E25" s="24"/>
      <c r="F25" s="24"/>
      <c r="G25" s="24"/>
      <c r="H25" s="24">
        <f t="shared" si="0"/>
        <v>0</v>
      </c>
    </row>
    <row r="26" spans="1:8" x14ac:dyDescent="0.35">
      <c r="A26" s="9"/>
      <c r="B26" s="9"/>
      <c r="C26" s="9"/>
      <c r="D26" s="24"/>
      <c r="E26" s="24"/>
      <c r="F26" s="24"/>
      <c r="G26" s="24"/>
      <c r="H26" s="24">
        <f t="shared" si="0"/>
        <v>0</v>
      </c>
    </row>
    <row r="27" spans="1:8" x14ac:dyDescent="0.35">
      <c r="A27" s="9"/>
      <c r="B27" s="9"/>
      <c r="C27" s="9"/>
      <c r="D27" s="24"/>
      <c r="E27" s="24"/>
      <c r="F27" s="24"/>
      <c r="G27" s="24"/>
      <c r="H27" s="24">
        <f t="shared" si="0"/>
        <v>0</v>
      </c>
    </row>
    <row r="28" spans="1:8" x14ac:dyDescent="0.35">
      <c r="A28" s="9"/>
      <c r="B28" s="9"/>
      <c r="C28" s="9"/>
      <c r="D28" s="24"/>
      <c r="E28" s="24"/>
      <c r="F28" s="24"/>
      <c r="G28" s="24"/>
      <c r="H28" s="24">
        <f t="shared" si="0"/>
        <v>0</v>
      </c>
    </row>
    <row r="29" spans="1:8" x14ac:dyDescent="0.35">
      <c r="A29" s="9"/>
      <c r="B29" s="9"/>
      <c r="C29" s="9"/>
      <c r="D29" s="24"/>
      <c r="E29" s="24"/>
      <c r="F29" s="24"/>
      <c r="G29" s="24"/>
      <c r="H29" s="24">
        <f t="shared" si="0"/>
        <v>0</v>
      </c>
    </row>
    <row r="31" spans="1:8" ht="24" customHeight="1" x14ac:dyDescent="0.35">
      <c r="A31" s="19" t="s">
        <v>394</v>
      </c>
      <c r="B31" s="47"/>
      <c r="C31" s="48"/>
      <c r="D31" s="25">
        <f>SUM(D4:D29)</f>
        <v>500000</v>
      </c>
      <c r="E31" s="25">
        <f>SUM(E4:E29)</f>
        <v>1850000</v>
      </c>
      <c r="F31" s="25">
        <f>SUM(F4:F29)</f>
        <v>40000</v>
      </c>
      <c r="G31" s="25">
        <f>SUM(G4:G29)</f>
        <v>4950000</v>
      </c>
      <c r="H31" s="25">
        <f>SUM(H4:H29)</f>
        <v>7340000</v>
      </c>
    </row>
  </sheetData>
  <mergeCells count="3">
    <mergeCell ref="A2:H2"/>
    <mergeCell ref="B31:C31"/>
    <mergeCell ref="A1:H1"/>
  </mergeCells>
  <dataValidations count="1">
    <dataValidation type="list" allowBlank="1" sqref="B4:B30" xr:uid="{00000000-0002-0000-0800-000000000000}">
      <formula1>"Internal failure,External failure,Appraisal,Prevention"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4"/>
  <sheetViews>
    <sheetView showGridLines="0" workbookViewId="0">
      <selection sqref="A1:H1"/>
    </sheetView>
  </sheetViews>
  <sheetFormatPr defaultRowHeight="14.5" x14ac:dyDescent="0.35"/>
  <cols>
    <col min="1" max="1" width="10" customWidth="1"/>
    <col min="2" max="2" width="12" customWidth="1"/>
    <col min="3" max="3" width="22" customWidth="1"/>
    <col min="4" max="5" width="36" customWidth="1"/>
    <col min="6" max="6" width="30" customWidth="1"/>
    <col min="7" max="7" width="18" customWidth="1"/>
    <col min="8" max="8" width="14" customWidth="1"/>
  </cols>
  <sheetData>
    <row r="1" spans="1:8" ht="30" customHeight="1" x14ac:dyDescent="0.35">
      <c r="A1" s="40" t="s">
        <v>395</v>
      </c>
      <c r="B1" s="28"/>
      <c r="C1" s="28"/>
      <c r="D1" s="28"/>
      <c r="E1" s="28"/>
      <c r="F1" s="28"/>
      <c r="G1" s="28"/>
      <c r="H1" s="28"/>
    </row>
    <row r="2" spans="1:8" ht="22" customHeight="1" x14ac:dyDescent="0.35">
      <c r="A2" s="36" t="s">
        <v>396</v>
      </c>
      <c r="B2" s="28"/>
      <c r="C2" s="28"/>
      <c r="D2" s="28"/>
      <c r="E2" s="28"/>
      <c r="F2" s="28"/>
      <c r="G2" s="28"/>
      <c r="H2" s="28"/>
    </row>
    <row r="3" spans="1:8" ht="36" customHeight="1" x14ac:dyDescent="0.35">
      <c r="A3" s="3" t="s">
        <v>142</v>
      </c>
      <c r="B3" s="3" t="s">
        <v>397</v>
      </c>
      <c r="C3" s="3" t="s">
        <v>398</v>
      </c>
      <c r="D3" s="3" t="s">
        <v>399</v>
      </c>
      <c r="E3" s="3" t="s">
        <v>400</v>
      </c>
      <c r="F3" s="3" t="s">
        <v>401</v>
      </c>
      <c r="G3" s="3" t="s">
        <v>402</v>
      </c>
      <c r="H3" s="3" t="s">
        <v>50</v>
      </c>
    </row>
    <row r="4" spans="1:8" ht="60" customHeight="1" x14ac:dyDescent="0.35">
      <c r="A4" s="6" t="s">
        <v>95</v>
      </c>
      <c r="B4" s="6" t="s">
        <v>249</v>
      </c>
      <c r="C4" s="6" t="s">
        <v>403</v>
      </c>
      <c r="D4" s="7" t="s">
        <v>404</v>
      </c>
      <c r="E4" s="7" t="s">
        <v>405</v>
      </c>
      <c r="F4" s="7" t="s">
        <v>406</v>
      </c>
      <c r="G4" s="6" t="s">
        <v>407</v>
      </c>
      <c r="H4" s="6" t="s">
        <v>408</v>
      </c>
    </row>
    <row r="5" spans="1:8" ht="60" customHeight="1" x14ac:dyDescent="0.35">
      <c r="A5" s="6" t="s">
        <v>118</v>
      </c>
      <c r="B5" s="6" t="s">
        <v>256</v>
      </c>
      <c r="C5" s="6" t="s">
        <v>409</v>
      </c>
      <c r="D5" s="7" t="s">
        <v>410</v>
      </c>
      <c r="E5" s="7" t="s">
        <v>411</v>
      </c>
      <c r="F5" s="7" t="s">
        <v>412</v>
      </c>
      <c r="G5" s="6" t="s">
        <v>413</v>
      </c>
      <c r="H5" s="6" t="s">
        <v>408</v>
      </c>
    </row>
    <row r="6" spans="1:8" x14ac:dyDescent="0.35">
      <c r="A6" s="8"/>
      <c r="B6" s="8"/>
      <c r="C6" s="8"/>
      <c r="D6" s="8"/>
      <c r="E6" s="8"/>
      <c r="F6" s="8"/>
      <c r="G6" s="8"/>
      <c r="H6" s="8"/>
    </row>
    <row r="7" spans="1:8" x14ac:dyDescent="0.35">
      <c r="A7" s="8"/>
      <c r="B7" s="8"/>
      <c r="C7" s="8"/>
      <c r="D7" s="8"/>
      <c r="E7" s="8"/>
      <c r="F7" s="8"/>
      <c r="G7" s="8"/>
      <c r="H7" s="8"/>
    </row>
    <row r="8" spans="1:8" x14ac:dyDescent="0.35">
      <c r="A8" s="8"/>
      <c r="B8" s="8"/>
      <c r="C8" s="8"/>
      <c r="D8" s="8"/>
      <c r="E8" s="8"/>
      <c r="F8" s="8"/>
      <c r="G8" s="8"/>
      <c r="H8" s="8"/>
    </row>
    <row r="9" spans="1:8" x14ac:dyDescent="0.35">
      <c r="A9" s="8"/>
      <c r="B9" s="8"/>
      <c r="C9" s="8"/>
      <c r="D9" s="8"/>
      <c r="E9" s="8"/>
      <c r="F9" s="8"/>
      <c r="G9" s="8"/>
      <c r="H9" s="8"/>
    </row>
    <row r="10" spans="1:8" x14ac:dyDescent="0.35">
      <c r="A10" s="8"/>
      <c r="B10" s="8"/>
      <c r="C10" s="8"/>
      <c r="D10" s="8"/>
      <c r="E10" s="8"/>
      <c r="F10" s="8"/>
      <c r="G10" s="8"/>
      <c r="H10" s="8"/>
    </row>
    <row r="11" spans="1:8" x14ac:dyDescent="0.35">
      <c r="A11" s="8"/>
      <c r="B11" s="8"/>
      <c r="C11" s="8"/>
      <c r="D11" s="8"/>
      <c r="E11" s="8"/>
      <c r="F11" s="8"/>
      <c r="G11" s="8"/>
      <c r="H11" s="8"/>
    </row>
    <row r="12" spans="1:8" x14ac:dyDescent="0.35">
      <c r="A12" s="8"/>
      <c r="B12" s="8"/>
      <c r="C12" s="8"/>
      <c r="D12" s="8"/>
      <c r="E12" s="8"/>
      <c r="F12" s="8"/>
      <c r="G12" s="8"/>
      <c r="H12" s="8"/>
    </row>
    <row r="13" spans="1:8" x14ac:dyDescent="0.35">
      <c r="A13" s="8"/>
      <c r="B13" s="8"/>
      <c r="C13" s="8"/>
      <c r="D13" s="8"/>
      <c r="E13" s="8"/>
      <c r="F13" s="8"/>
      <c r="G13" s="8"/>
      <c r="H13" s="8"/>
    </row>
    <row r="14" spans="1:8" x14ac:dyDescent="0.35">
      <c r="A14" s="8"/>
      <c r="B14" s="8"/>
      <c r="C14" s="8"/>
      <c r="D14" s="8"/>
      <c r="E14" s="8"/>
      <c r="F14" s="8"/>
      <c r="G14" s="8"/>
      <c r="H14" s="8"/>
    </row>
    <row r="15" spans="1:8" x14ac:dyDescent="0.35">
      <c r="A15" s="8"/>
      <c r="B15" s="8"/>
      <c r="C15" s="8"/>
      <c r="D15" s="8"/>
      <c r="E15" s="8"/>
      <c r="F15" s="8"/>
      <c r="G15" s="8"/>
      <c r="H15" s="8"/>
    </row>
    <row r="16" spans="1:8" x14ac:dyDescent="0.35">
      <c r="A16" s="8"/>
      <c r="B16" s="8"/>
      <c r="C16" s="8"/>
      <c r="D16" s="8"/>
      <c r="E16" s="8"/>
      <c r="F16" s="8"/>
      <c r="G16" s="8"/>
      <c r="H16" s="8"/>
    </row>
    <row r="17" spans="1:8" x14ac:dyDescent="0.35">
      <c r="A17" s="8"/>
      <c r="B17" s="8"/>
      <c r="C17" s="8"/>
      <c r="D17" s="8"/>
      <c r="E17" s="8"/>
      <c r="F17" s="8"/>
      <c r="G17" s="8"/>
      <c r="H17" s="8"/>
    </row>
    <row r="18" spans="1:8" x14ac:dyDescent="0.35">
      <c r="A18" s="8"/>
      <c r="B18" s="8"/>
      <c r="C18" s="8"/>
      <c r="D18" s="8"/>
      <c r="E18" s="8"/>
      <c r="F18" s="8"/>
      <c r="G18" s="8"/>
      <c r="H18" s="8"/>
    </row>
    <row r="19" spans="1:8" x14ac:dyDescent="0.35">
      <c r="A19" s="8"/>
      <c r="B19" s="8"/>
      <c r="C19" s="8"/>
      <c r="D19" s="8"/>
      <c r="E19" s="8"/>
      <c r="F19" s="8"/>
      <c r="G19" s="8"/>
      <c r="H19" s="8"/>
    </row>
    <row r="20" spans="1:8" x14ac:dyDescent="0.35">
      <c r="A20" s="8"/>
      <c r="B20" s="8"/>
      <c r="C20" s="8"/>
      <c r="D20" s="8"/>
      <c r="E20" s="8"/>
      <c r="F20" s="8"/>
      <c r="G20" s="8"/>
      <c r="H20" s="8"/>
    </row>
    <row r="21" spans="1:8" x14ac:dyDescent="0.35">
      <c r="A21" s="8"/>
      <c r="B21" s="8"/>
      <c r="C21" s="8"/>
      <c r="D21" s="8"/>
      <c r="E21" s="8"/>
      <c r="F21" s="8"/>
      <c r="G21" s="8"/>
      <c r="H21" s="8"/>
    </row>
    <row r="22" spans="1:8" x14ac:dyDescent="0.35">
      <c r="A22" s="8"/>
      <c r="B22" s="8"/>
      <c r="C22" s="8"/>
      <c r="D22" s="8"/>
      <c r="E22" s="8"/>
      <c r="F22" s="8"/>
      <c r="G22" s="8"/>
      <c r="H22" s="8"/>
    </row>
    <row r="23" spans="1:8" x14ac:dyDescent="0.35">
      <c r="A23" s="8"/>
      <c r="B23" s="8"/>
      <c r="C23" s="8"/>
      <c r="D23" s="8"/>
      <c r="E23" s="8"/>
      <c r="F23" s="8"/>
      <c r="G23" s="8"/>
      <c r="H23" s="8"/>
    </row>
    <row r="24" spans="1:8" x14ac:dyDescent="0.35">
      <c r="A24" s="8"/>
      <c r="B24" s="8"/>
      <c r="C24" s="8"/>
      <c r="D24" s="8"/>
      <c r="E24" s="8"/>
      <c r="F24" s="8"/>
      <c r="G24" s="8"/>
      <c r="H24" s="8"/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7"/>
  <sheetViews>
    <sheetView showGridLines="0" workbookViewId="0">
      <selection sqref="A1:C1"/>
    </sheetView>
  </sheetViews>
  <sheetFormatPr defaultRowHeight="14.5" x14ac:dyDescent="0.35"/>
  <cols>
    <col min="1" max="1" width="4" customWidth="1"/>
    <col min="2" max="2" width="28" customWidth="1"/>
    <col min="3" max="3" width="60" customWidth="1"/>
    <col min="4" max="5" width="4" customWidth="1"/>
  </cols>
  <sheetData>
    <row r="1" spans="1:3" ht="30" customHeight="1" x14ac:dyDescent="0.35">
      <c r="A1" s="40" t="s">
        <v>414</v>
      </c>
      <c r="B1" s="28"/>
      <c r="C1" s="28"/>
    </row>
    <row r="2" spans="1:3" ht="22" customHeight="1" x14ac:dyDescent="0.35">
      <c r="A2" s="36" t="s">
        <v>415</v>
      </c>
      <c r="B2" s="28"/>
      <c r="C2" s="28"/>
    </row>
    <row r="4" spans="1:3" ht="22" customHeight="1" x14ac:dyDescent="0.35">
      <c r="A4" s="38" t="s">
        <v>416</v>
      </c>
      <c r="B4" s="28"/>
      <c r="C4" s="28"/>
    </row>
    <row r="5" spans="1:3" ht="44" customHeight="1" x14ac:dyDescent="0.35">
      <c r="B5" s="26" t="s">
        <v>417</v>
      </c>
      <c r="C5" s="11" t="s">
        <v>418</v>
      </c>
    </row>
    <row r="6" spans="1:3" ht="44" customHeight="1" x14ac:dyDescent="0.35">
      <c r="B6" s="26" t="s">
        <v>419</v>
      </c>
      <c r="C6" s="11" t="s">
        <v>420</v>
      </c>
    </row>
    <row r="7" spans="1:3" ht="44" customHeight="1" x14ac:dyDescent="0.35">
      <c r="B7" s="26" t="s">
        <v>421</v>
      </c>
      <c r="C7" s="11" t="s">
        <v>422</v>
      </c>
    </row>
    <row r="8" spans="1:3" ht="44" customHeight="1" x14ac:dyDescent="0.35">
      <c r="B8" s="26" t="s">
        <v>423</v>
      </c>
      <c r="C8" s="11" t="s">
        <v>424</v>
      </c>
    </row>
    <row r="9" spans="1:3" ht="44" customHeight="1" x14ac:dyDescent="0.35">
      <c r="B9" s="26" t="s">
        <v>425</v>
      </c>
      <c r="C9" s="11" t="s">
        <v>426</v>
      </c>
    </row>
    <row r="10" spans="1:3" ht="44" customHeight="1" x14ac:dyDescent="0.35">
      <c r="B10" s="26" t="s">
        <v>427</v>
      </c>
      <c r="C10" s="11" t="s">
        <v>428</v>
      </c>
    </row>
    <row r="11" spans="1:3" ht="44" customHeight="1" x14ac:dyDescent="0.35">
      <c r="B11" s="26" t="s">
        <v>429</v>
      </c>
      <c r="C11" s="11" t="s">
        <v>430</v>
      </c>
    </row>
    <row r="12" spans="1:3" ht="44" customHeight="1" x14ac:dyDescent="0.35">
      <c r="B12" s="26" t="s">
        <v>431</v>
      </c>
      <c r="C12" s="11" t="s">
        <v>432</v>
      </c>
    </row>
    <row r="13" spans="1:3" ht="44" customHeight="1" x14ac:dyDescent="0.35">
      <c r="B13" s="26" t="s">
        <v>433</v>
      </c>
      <c r="C13" s="11" t="s">
        <v>434</v>
      </c>
    </row>
    <row r="14" spans="1:3" ht="44" customHeight="1" x14ac:dyDescent="0.35">
      <c r="B14" s="26" t="s">
        <v>435</v>
      </c>
      <c r="C14" s="11" t="s">
        <v>436</v>
      </c>
    </row>
    <row r="16" spans="1:3" ht="22" customHeight="1" x14ac:dyDescent="0.35">
      <c r="A16" s="38" t="s">
        <v>437</v>
      </c>
      <c r="B16" s="28"/>
      <c r="C16" s="28"/>
    </row>
    <row r="17" spans="1:3" ht="24" customHeight="1" x14ac:dyDescent="0.35">
      <c r="B17" s="14" t="s">
        <v>438</v>
      </c>
      <c r="C17" s="13" t="s">
        <v>439</v>
      </c>
    </row>
    <row r="18" spans="1:3" ht="24" customHeight="1" x14ac:dyDescent="0.35">
      <c r="B18" s="14" t="s">
        <v>440</v>
      </c>
      <c r="C18" s="13" t="s">
        <v>441</v>
      </c>
    </row>
    <row r="19" spans="1:3" ht="24" customHeight="1" x14ac:dyDescent="0.35">
      <c r="B19" s="14" t="s">
        <v>442</v>
      </c>
      <c r="C19" s="13" t="s">
        <v>443</v>
      </c>
    </row>
    <row r="20" spans="1:3" ht="24" customHeight="1" x14ac:dyDescent="0.35">
      <c r="B20" s="14" t="s">
        <v>444</v>
      </c>
      <c r="C20" s="13" t="s">
        <v>445</v>
      </c>
    </row>
    <row r="21" spans="1:3" ht="24" customHeight="1" x14ac:dyDescent="0.35">
      <c r="B21" s="14" t="s">
        <v>61</v>
      </c>
      <c r="C21" s="13" t="s">
        <v>446</v>
      </c>
    </row>
    <row r="22" spans="1:3" ht="24" customHeight="1" x14ac:dyDescent="0.35">
      <c r="B22" s="14" t="s">
        <v>63</v>
      </c>
      <c r="C22" s="13" t="s">
        <v>447</v>
      </c>
    </row>
    <row r="23" spans="1:3" ht="24" customHeight="1" x14ac:dyDescent="0.35">
      <c r="B23" s="14" t="s">
        <v>448</v>
      </c>
      <c r="C23" s="13" t="s">
        <v>449</v>
      </c>
    </row>
    <row r="24" spans="1:3" ht="24" customHeight="1" x14ac:dyDescent="0.35">
      <c r="B24" s="14" t="s">
        <v>450</v>
      </c>
      <c r="C24" s="13" t="s">
        <v>451</v>
      </c>
    </row>
    <row r="26" spans="1:3" ht="22" customHeight="1" x14ac:dyDescent="0.35">
      <c r="A26" s="38" t="s">
        <v>452</v>
      </c>
      <c r="B26" s="28"/>
      <c r="C26" s="28"/>
    </row>
    <row r="27" spans="1:3" ht="22" customHeight="1" x14ac:dyDescent="0.35">
      <c r="B27" s="14" t="s">
        <v>453</v>
      </c>
      <c r="C27" s="13" t="s">
        <v>454</v>
      </c>
    </row>
    <row r="28" spans="1:3" ht="22" customHeight="1" x14ac:dyDescent="0.35">
      <c r="B28" s="14" t="s">
        <v>188</v>
      </c>
      <c r="C28" s="13" t="s">
        <v>455</v>
      </c>
    </row>
    <row r="29" spans="1:3" ht="22" customHeight="1" x14ac:dyDescent="0.35">
      <c r="B29" s="14" t="s">
        <v>456</v>
      </c>
      <c r="C29" s="13" t="s">
        <v>457</v>
      </c>
    </row>
    <row r="30" spans="1:3" ht="22" customHeight="1" x14ac:dyDescent="0.35">
      <c r="B30" s="14" t="s">
        <v>458</v>
      </c>
      <c r="C30" s="13" t="s">
        <v>459</v>
      </c>
    </row>
    <row r="31" spans="1:3" ht="22" customHeight="1" x14ac:dyDescent="0.35">
      <c r="B31" s="14" t="s">
        <v>460</v>
      </c>
      <c r="C31" s="13" t="s">
        <v>461</v>
      </c>
    </row>
    <row r="33" spans="1:3" ht="22" customHeight="1" x14ac:dyDescent="0.35">
      <c r="A33" s="38" t="s">
        <v>462</v>
      </c>
      <c r="B33" s="28"/>
      <c r="C33" s="28"/>
    </row>
    <row r="34" spans="1:3" ht="24" customHeight="1" x14ac:dyDescent="0.35">
      <c r="B34" s="14" t="s">
        <v>463</v>
      </c>
      <c r="C34" s="13" t="s">
        <v>464</v>
      </c>
    </row>
    <row r="35" spans="1:3" ht="24" customHeight="1" x14ac:dyDescent="0.35">
      <c r="B35" s="14" t="s">
        <v>465</v>
      </c>
      <c r="C35" s="13" t="s">
        <v>466</v>
      </c>
    </row>
    <row r="36" spans="1:3" ht="24" customHeight="1" x14ac:dyDescent="0.35">
      <c r="B36" s="14" t="s">
        <v>467</v>
      </c>
      <c r="C36" s="13" t="s">
        <v>468</v>
      </c>
    </row>
    <row r="37" spans="1:3" ht="24" customHeight="1" x14ac:dyDescent="0.35">
      <c r="B37" s="14" t="s">
        <v>469</v>
      </c>
      <c r="C37" s="13" t="s">
        <v>470</v>
      </c>
    </row>
  </sheetData>
  <mergeCells count="6">
    <mergeCell ref="A33:C33"/>
    <mergeCell ref="A1:C1"/>
    <mergeCell ref="A16:C16"/>
    <mergeCell ref="A4:C4"/>
    <mergeCell ref="A26:C26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</vt:lpstr>
      <vt:lpstr>Dashboard</vt:lpstr>
      <vt:lpstr>NC &amp; Incident Log</vt:lpstr>
      <vt:lpstr>Root Cause Analysis</vt:lpstr>
      <vt:lpstr>CAPA Register</vt:lpstr>
      <vt:lpstr>Effectiveness Review</vt:lpstr>
      <vt:lpstr>Recurrence Tracker</vt:lpstr>
      <vt:lpstr>ISO Clause Mapping</vt:lpstr>
      <vt:lpstr>Cost of Poor Quality</vt:lpstr>
      <vt:lpstr>Lessons Learned</vt:lpstr>
      <vt:lpstr>Reference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2026-06-06T12:31:32Z</dcterms:created>
  <dcterms:modified xsi:type="dcterms:W3CDTF">2026-06-06T15:44:13Z</dcterms:modified>
</cp:coreProperties>
</file>